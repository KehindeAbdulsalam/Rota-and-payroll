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026"/>
  <workbookPr dateCompatibility="0" hidePivotFieldList="1" defaultThemeVersion="202300"/>
  <mc:AlternateContent xmlns:mc="http://schemas.openxmlformats.org/markup-compatibility/2006">
    <mc:Choice Requires="x15">
      <x15ac:absPath xmlns:x15ac="http://schemas.microsoft.com/office/spreadsheetml/2010/11/ac" url="https://gloscolac-my.sharepoint.com/personal/5293425_student_gloscol_ac_uk/Documents/"/>
    </mc:Choice>
  </mc:AlternateContent>
  <xr:revisionPtr revIDLastSave="0" documentId="10_ncr:8_{819E3D22-D992-4087-8557-58B2F7B3C3A0}" xr6:coauthVersionLast="47" xr6:coauthVersionMax="47" xr10:uidLastSave="{00000000-0000-0000-0000-000000000000}"/>
  <bookViews>
    <workbookView xWindow="-110" yWindow="-110" windowWidth="19420" windowHeight="10300" activeTab="3" xr2:uid="{54B34298-5538-4194-BB0C-885A6BD313AB}"/>
  </bookViews>
  <sheets>
    <sheet name="Role chart" sheetId="2" r:id="rId1"/>
    <sheet name="Chart" sheetId="3" r:id="rId2"/>
    <sheet name="Overtime chart" sheetId="4" r:id="rId3"/>
    <sheet name="Dashboard" sheetId="1" r:id="rId4"/>
  </sheets>
  <definedNames>
    <definedName name="Slicer_Employee_ID">#N/A</definedName>
    <definedName name="Slicer_Monthly_payroll">#N/A</definedName>
    <definedName name="Slicer_Overtime">#N/A</definedName>
    <definedName name="Slicer_Overtime_pay">#N/A</definedName>
    <definedName name="Slicer_Shift_scheduling">#N/A</definedName>
    <definedName name="Slicer_Staff_rol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purl.oclc.org/ooxml/spreadsheetml/main">
  <c r="H8" i="1" l="1"/>
  <c r="P8" i="1"/>
  <c r="K39" i="1"/>
  <c r="N39" i="1" s="1"/>
  <c r="K40" i="1"/>
  <c r="N40" i="1" s="1"/>
  <c r="K41" i="1"/>
  <c r="N41" i="1" s="1"/>
  <c r="K42" i="1"/>
  <c r="N42" i="1" s="1"/>
  <c r="K43" i="1"/>
  <c r="N43" i="1" s="1"/>
  <c r="K44" i="1"/>
  <c r="L44" i="1" s="1"/>
  <c r="K45" i="1"/>
  <c r="L45" i="1" s="1"/>
  <c r="K46" i="1"/>
  <c r="N46" i="1" s="1"/>
  <c r="K47" i="1"/>
  <c r="N47" i="1" s="1"/>
  <c r="K48" i="1"/>
  <c r="N48" i="1" s="1"/>
  <c r="K49" i="1"/>
  <c r="N49" i="1" s="1"/>
  <c r="K50" i="1"/>
  <c r="N50" i="1" s="1"/>
  <c r="K51" i="1"/>
  <c r="L51" i="1" s="1"/>
  <c r="K37" i="1"/>
  <c r="N37" i="1" s="1"/>
  <c r="K38" i="1"/>
  <c r="N38" i="1" s="1"/>
  <c r="K36" i="1"/>
  <c r="L36" i="1" s="1"/>
  <c r="L8" i="1" l="1"/>
  <c r="N45" i="1"/>
  <c r="O45" i="1" s="1"/>
  <c r="N36" i="1"/>
  <c r="L37" i="1"/>
  <c r="O37" i="1" s="1"/>
  <c r="N51" i="1"/>
  <c r="O51" i="1" s="1"/>
  <c r="N44" i="1"/>
  <c r="O44" i="1" s="1"/>
  <c r="L43" i="1"/>
  <c r="O43" i="1" s="1"/>
  <c r="L50" i="1"/>
  <c r="O50" i="1" s="1"/>
  <c r="L42" i="1"/>
  <c r="O42" i="1" s="1"/>
  <c r="L49" i="1"/>
  <c r="O49" i="1" s="1"/>
  <c r="L41" i="1"/>
  <c r="O41" i="1" s="1"/>
  <c r="L48" i="1"/>
  <c r="O48" i="1" s="1"/>
  <c r="L40" i="1"/>
  <c r="O40" i="1" s="1"/>
  <c r="L47" i="1"/>
  <c r="O47" i="1" s="1"/>
  <c r="L39" i="1"/>
  <c r="O39" i="1" s="1"/>
  <c r="L46" i="1"/>
  <c r="O46" i="1" s="1"/>
  <c r="L38" i="1"/>
  <c r="O38" i="1" s="1"/>
  <c r="O36" i="1" l="1"/>
  <c r="R8" i="1"/>
  <c r="N8" i="1" l="1"/>
  <c r="J8" i="1"/>
</calcChain>
</file>

<file path=xl/sharedStrings.xml><?xml version="1.0" encoding="utf-8"?>
<sst xmlns="http://purl.oclc.org/ooxml/spreadsheetml/main" count="96" uniqueCount="37">
  <si>
    <t>Employee ID</t>
  </si>
  <si>
    <t>Age</t>
  </si>
  <si>
    <t>Shift scheduling</t>
  </si>
  <si>
    <t>Hourly pay</t>
  </si>
  <si>
    <t>Staff role</t>
  </si>
  <si>
    <t xml:space="preserve">Overtime </t>
  </si>
  <si>
    <t>Monthly payroll</t>
  </si>
  <si>
    <t xml:space="preserve">Staff Role </t>
  </si>
  <si>
    <t>Chef</t>
  </si>
  <si>
    <t>Steward</t>
  </si>
  <si>
    <t>Attendant</t>
  </si>
  <si>
    <t>Manager</t>
  </si>
  <si>
    <t>Assistant Manager</t>
  </si>
  <si>
    <t>Cleaner</t>
  </si>
  <si>
    <t>Security</t>
  </si>
  <si>
    <t>Weekly Pay</t>
  </si>
  <si>
    <t>Overtime pay</t>
  </si>
  <si>
    <t>Fatima Beatriz</t>
  </si>
  <si>
    <t xml:space="preserve">Eric Hanna </t>
  </si>
  <si>
    <t>Ali Diya</t>
  </si>
  <si>
    <t>Charles Gabriel</t>
  </si>
  <si>
    <t>Hanna Ruth</t>
  </si>
  <si>
    <t>Ruby Eden</t>
  </si>
  <si>
    <t>Wren Leia</t>
  </si>
  <si>
    <t>Iris Vera</t>
  </si>
  <si>
    <t xml:space="preserve">Cora Nyla </t>
  </si>
  <si>
    <t>Isreal Adesanya</t>
  </si>
  <si>
    <t>Ayla Lola</t>
  </si>
  <si>
    <t>Remi Evie</t>
  </si>
  <si>
    <t>Sage Lena</t>
  </si>
  <si>
    <t>June Jane</t>
  </si>
  <si>
    <t>Myla Thea</t>
  </si>
  <si>
    <t>Kaia Esme</t>
  </si>
  <si>
    <t>Count of Staff role</t>
  </si>
  <si>
    <t xml:space="preserve">       EMPLOYEE ROTA &amp; PAYROLL DASHBOARD</t>
  </si>
  <si>
    <t>Sum of Monthly payroll</t>
  </si>
  <si>
    <t xml:space="preserve">Sum of Overtime </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</si>
</sst>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b/>
      <sz val="11"/>
      <color theme="1"/>
      <name val="Aptos Narrow"/>
      <family val="2"/>
      <scheme val="minor"/>
    </font>
    <font>
      <b/>
      <sz val="18"/>
      <color theme="1"/>
      <name val="Aptos Narrow"/>
      <family val="2"/>
      <scheme val="minor"/>
    </font>
    <font>
      <b/>
      <sz val="20"/>
      <color theme="1"/>
      <name val="Aptos Narrow"/>
      <family val="2"/>
      <scheme val="minor"/>
    </font>
    <font>
      <b/>
      <sz val="24"/>
      <color theme="1"/>
      <name val="Aptos Narrow"/>
      <family val="2"/>
      <scheme val="minor"/>
    </font>
    <font>
      <b/>
      <sz val="28"/>
      <color theme="1"/>
      <name val="Aptos Narrow"/>
      <family val="2"/>
      <scheme val="minor"/>
    </font>
    <font>
      <b/>
      <sz val="17"/>
      <color theme="1"/>
      <name val="Aptos Narrow"/>
      <family val="2"/>
      <scheme val="minor"/>
    </font>
    <font>
      <b/>
      <sz val="11"/>
      <color theme="5" tint="-0.499984740745262"/>
      <name val="Aptos Narrow"/>
      <family val="2"/>
      <scheme val="minor"/>
    </font>
    <font>
      <b/>
      <sz val="11"/>
      <color theme="6" tint="-0.499984740745262"/>
      <name val="Aptos Narrow"/>
      <family val="2"/>
      <scheme val="minor"/>
    </font>
    <font>
      <b/>
      <sz val="11"/>
      <color theme="2"/>
      <name val="Aptos Narrow"/>
      <family val="2"/>
      <scheme val="minor"/>
    </font>
    <font>
      <sz val="11"/>
      <color theme="2"/>
      <name val="Aptos Narrow"/>
      <family val="2"/>
      <scheme val="minor"/>
    </font>
    <font>
      <b/>
      <sz val="48"/>
      <color theme="2"/>
      <name val="Aptos Narrow"/>
      <family val="2"/>
      <scheme val="minor"/>
    </font>
    <font>
      <b/>
      <sz val="20"/>
      <name val="Aptos Narrow"/>
      <family val="2"/>
      <scheme val="minor"/>
    </font>
    <font>
      <b/>
      <sz val="11"/>
      <color theme="6"/>
      <name val="Aptos Narrow"/>
      <family val="2"/>
      <scheme val="minor"/>
    </font>
    <font>
      <b/>
      <sz val="12"/>
      <name val="Aptos Narrow"/>
      <family val="2"/>
      <scheme val="minor"/>
    </font>
    <font>
      <b/>
      <sz val="9"/>
      <name val="Aptos Narrow"/>
      <family val="2"/>
      <scheme val="minor"/>
    </font>
    <font>
      <b/>
      <sz val="8"/>
      <name val="Aptos Narrow"/>
      <family val="2"/>
      <scheme val="minor"/>
    </font>
    <font>
      <sz val="9"/>
      <name val="Aptos Narrow"/>
      <family val="2"/>
      <scheme val="minor"/>
    </font>
  </fonts>
  <fills count="4">
    <fill>
      <patternFill patternType="none"/>
    </fill>
    <fill>
      <patternFill patternType="gray125"/>
    </fill>
    <fill>
      <patternFill patternType="solid">
        <fgColor theme="6" tint="-0.499984740745262"/>
        <bgColor indexed="64"/>
      </patternFill>
    </fill>
    <fill>
      <patternFill patternType="solid">
        <fgColor theme="9" tint="0.79998168889431442"/>
        <bgColor indexed="64"/>
      </patternFill>
    </fill>
  </fills>
  <borders count="8">
    <border>
      <start/>
      <end/>
      <top/>
      <bottom/>
      <diagonal/>
    </border>
    <border>
      <start style="thin">
        <color indexed="64"/>
      </start>
      <end style="thin">
        <color indexed="64"/>
      </end>
      <top style="thin">
        <color indexed="64"/>
      </top>
      <bottom style="thin">
        <color indexed="64"/>
      </bottom>
      <diagonal/>
    </border>
    <border>
      <start style="thin">
        <color rgb="FF999999"/>
      </start>
      <end/>
      <top style="thin">
        <color rgb="FF999999"/>
      </top>
      <bottom/>
      <diagonal/>
    </border>
    <border>
      <start style="thin">
        <color rgb="FF999999"/>
      </start>
      <end style="thin">
        <color rgb="FF999999"/>
      </end>
      <top style="thin">
        <color rgb="FF999999"/>
      </top>
      <bottom/>
      <diagonal/>
    </border>
    <border>
      <start style="thin">
        <color rgb="FF999999"/>
      </start>
      <end/>
      <top/>
      <bottom/>
      <diagonal/>
    </border>
    <border>
      <start style="thin">
        <color rgb="FF999999"/>
      </start>
      <end style="thin">
        <color rgb="FF999999"/>
      </end>
      <top/>
      <bottom/>
      <diagonal/>
    </border>
    <border>
      <start style="thin">
        <color rgb="FF999999"/>
      </start>
      <end/>
      <top/>
      <bottom style="thin">
        <color rgb="FF999999"/>
      </bottom>
      <diagonal/>
    </border>
    <border>
      <start style="thin">
        <color rgb="FF999999"/>
      </start>
      <end style="thin">
        <color rgb="FF999999"/>
      </end>
      <top/>
      <bottom style="thin">
        <color rgb="FF999999"/>
      </bottom>
      <diagonal/>
    </border>
  </borders>
  <cellStyleXfs count="1">
    <xf numFmtId="0" fontId="0" fillId="0" borderId="0"/>
  </cellStyleXfs>
  <cellXfs count="46">
    <xf numFmtId="0" fontId="0" fillId="0" borderId="0" xfId="0"/>
    <xf numFmtId="164" fontId="0" fillId="0" borderId="0" xfId="0" applyNumberFormat="1"/>
    <xf numFmtId="0" fontId="0" fillId="0" borderId="1" xfId="0" applyBorder="1"/>
    <xf numFmtId="164" fontId="0" fillId="0" borderId="1" xfId="0" applyNumberFormat="1" applyBorder="1"/>
    <xf numFmtId="0" fontId="1" fillId="0" borderId="0" xfId="0" applyFont="1"/>
    <xf numFmtId="0" fontId="0" fillId="0" borderId="2" xfId="0" applyBorder="1"/>
    <xf numFmtId="0" fontId="0" fillId="0" borderId="2" xfId="0" pivotButton="1" applyBorder="1"/>
    <xf numFmtId="0" fontId="0" fillId="0" borderId="3" xfId="0" applyBorder="1"/>
    <xf numFmtId="0" fontId="0" fillId="0" borderId="4" xfId="0" applyBorder="1"/>
    <xf numFmtId="0" fontId="0" fillId="0" borderId="6" xfId="0" applyBorder="1"/>
    <xf numFmtId="164" fontId="4" fillId="0" borderId="0" xfId="0" applyNumberFormat="1" applyFont="1" applyAlignment="1">
      <alignment vertical="center"/>
    </xf>
    <xf numFmtId="164" fontId="3" fillId="0" borderId="0" xfId="0" applyNumberFormat="1" applyFont="1" applyAlignment="1">
      <alignment vertical="center"/>
    </xf>
    <xf numFmtId="0" fontId="1" fillId="0" borderId="0" xfId="0" applyFont="1" applyAlignment="1">
      <alignment horizontal="center"/>
    </xf>
    <xf numFmtId="0" fontId="0" fillId="0" borderId="0" xfId="0" applyAlignment="1">
      <alignment horizontal="center"/>
    </xf>
    <xf numFmtId="0" fontId="9" fillId="2" borderId="0" xfId="0" applyFont="1" applyFill="1"/>
    <xf numFmtId="0" fontId="0" fillId="3" borderId="0" xfId="0" applyFill="1"/>
    <xf numFmtId="164" fontId="0" fillId="3" borderId="0" xfId="0" applyNumberFormat="1" applyFill="1"/>
    <xf numFmtId="0" fontId="0" fillId="3" borderId="1" xfId="0" applyFill="1" applyBorder="1"/>
    <xf numFmtId="164" fontId="0" fillId="3" borderId="1" xfId="0" applyNumberFormat="1" applyFill="1" applyBorder="1"/>
    <xf numFmtId="0" fontId="10" fillId="2" borderId="1" xfId="0" applyFont="1" applyFill="1" applyBorder="1"/>
    <xf numFmtId="0" fontId="12" fillId="0" borderId="0" xfId="0" applyFont="1" applyAlignment="1">
      <alignment horizontal="center"/>
    </xf>
    <xf numFmtId="0" fontId="3" fillId="0" borderId="0" xfId="0" applyFont="1"/>
    <xf numFmtId="0" fontId="8" fillId="0" borderId="0" xfId="0" applyFont="1" applyAlignment="1">
      <alignment horizontal="center" vertical="top"/>
    </xf>
    <xf numFmtId="0" fontId="1" fillId="0" borderId="0" xfId="0" applyFont="1" applyAlignment="1">
      <alignment horizontal="center" vertical="top"/>
    </xf>
    <xf numFmtId="0" fontId="6" fillId="0" borderId="0" xfId="0" applyFont="1" applyAlignment="1">
      <alignment horizontal="center"/>
    </xf>
    <xf numFmtId="0" fontId="8" fillId="0" borderId="0" xfId="0" applyFont="1" applyAlignment="1">
      <alignment horizontal="center" vertical="center"/>
    </xf>
    <xf numFmtId="0" fontId="4" fillId="0" borderId="0" xfId="0" applyFont="1" applyAlignment="1">
      <alignment vertical="center"/>
    </xf>
    <xf numFmtId="0" fontId="2" fillId="0" borderId="0" xfId="0" applyFont="1" applyAlignment="1">
      <alignment vertical="center"/>
    </xf>
    <xf numFmtId="0" fontId="7" fillId="0" borderId="0" xfId="0" applyFont="1" applyAlignment="1">
      <alignment horizontal="center"/>
    </xf>
    <xf numFmtId="0" fontId="14" fillId="0" borderId="0" xfId="0" applyFont="1" applyAlignment="1">
      <alignment horizontal="center"/>
    </xf>
    <xf numFmtId="164" fontId="14" fillId="0" borderId="0" xfId="0" applyNumberFormat="1" applyFont="1" applyAlignment="1">
      <alignment horizontal="center" vertical="center"/>
    </xf>
    <xf numFmtId="0" fontId="14" fillId="0" borderId="0" xfId="0" applyFont="1" applyAlignment="1">
      <alignment horizontal="center" vertical="center"/>
    </xf>
    <xf numFmtId="0" fontId="15" fillId="0" borderId="0" xfId="0" applyFont="1"/>
    <xf numFmtId="0" fontId="15" fillId="0" borderId="0" xfId="0" applyFont="1" applyAlignment="1">
      <alignment horizontal="center"/>
    </xf>
    <xf numFmtId="0" fontId="17" fillId="0" borderId="0" xfId="0" applyFont="1"/>
    <xf numFmtId="164" fontId="15" fillId="0" borderId="0" xfId="0" applyNumberFormat="1" applyFont="1" applyAlignment="1">
      <alignment horizontal="center" vertical="center"/>
    </xf>
    <xf numFmtId="0" fontId="15" fillId="0" borderId="0" xfId="0" applyFont="1" applyAlignment="1">
      <alignment horizontal="center" vertical="center"/>
    </xf>
    <xf numFmtId="0" fontId="0" fillId="0" borderId="0" xfId="0" pivotButton="1"/>
    <xf numFmtId="0" fontId="0" fillId="0" borderId="5" xfId="0" applyBorder="1"/>
    <xf numFmtId="0" fontId="0" fillId="0" borderId="7" xfId="0" applyBorder="1"/>
    <xf numFmtId="0" fontId="11" fillId="2" borderId="0" xfId="0" applyFont="1" applyFill="1"/>
    <xf numFmtId="0" fontId="0" fillId="2" borderId="0" xfId="0" applyFill="1"/>
    <xf numFmtId="0" fontId="5" fillId="0" borderId="0" xfId="0" applyFont="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horizontal="center" vertical="center"/>
    </xf>
    <xf numFmtId="164" fontId="16"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purl.oclc.org/ooxml/officeDocument/relationships/worksheet" Target="worksheets/sheet3.xml"/><Relationship Id="rId7" Type="http://purl.oclc.org/ooxml/officeDocument/relationships/pivotCacheDefinition" Target="pivotCache/pivotCacheDefinition3.xml"/><Relationship Id="rId12" Type="http://schemas.microsoft.com/office/2007/relationships/slicerCache" Target="slicerCaches/slicerCache5.xml"/><Relationship Id="rId17" Type="http://purl.oclc.org/ooxml/officeDocument/relationships/calcChain" Target="calcChain.xml"/><Relationship Id="rId2" Type="http://purl.oclc.org/ooxml/officeDocument/relationships/worksheet" Target="worksheets/sheet2.xml"/><Relationship Id="rId16" Type="http://purl.oclc.org/ooxml/officeDocument/relationships/sharedStrings" Target="sharedStrings.xml"/><Relationship Id="rId1" Type="http://purl.oclc.org/ooxml/officeDocument/relationships/worksheet" Target="worksheets/sheet1.xml"/><Relationship Id="rId6" Type="http://purl.oclc.org/ooxml/officeDocument/relationships/pivotCacheDefinition" Target="pivotCache/pivotCacheDefinition2.xml"/><Relationship Id="rId11" Type="http://schemas.microsoft.com/office/2007/relationships/slicerCache" Target="slicerCaches/slicerCache4.xml"/><Relationship Id="rId5" Type="http://purl.oclc.org/ooxml/officeDocument/relationships/pivotCacheDefinition" Target="pivotCache/pivotCacheDefinition1.xml"/><Relationship Id="rId15" Type="http://purl.oclc.org/ooxml/officeDocument/relationships/styles" Target="styles.xml"/><Relationship Id="rId10" Type="http://schemas.microsoft.com/office/2007/relationships/slicerCache" Target="slicerCaches/slicerCache3.xml"/><Relationship Id="rId4" Type="http://purl.oclc.org/ooxml/officeDocument/relationships/worksheet" Target="worksheets/sheet4.xml"/><Relationship Id="rId9" Type="http://schemas.microsoft.com/office/2007/relationships/slicerCache" Target="slicerCaches/slicerCache2.xml"/><Relationship Id="rId14"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Payroll.xlsx]Role chart!PivotTable25</c:name>
    <c:fmtId val="0"/>
  </c:pivotSource>
  <c:chart>
    <c:title>
      <c:tx>
        <c:rich>
          <a:bodyPr rot="0" spcFirstLastPara="1" vertOverflow="ellipsis" vert="horz" wrap="square" anchor="ctr" anchorCtr="1"/>
          <a:lstStyle/>
          <a:p>
            <a:pPr>
              <a:defRPr sz="1800" b="1" i="0" u="none" strike="noStrike" kern="1200" baseline="0%">
                <a:solidFill>
                  <a:schemeClr val="dk1">
                    <a:lumMod val="75%"/>
                    <a:lumOff val="25%"/>
                  </a:schemeClr>
                </a:solidFill>
                <a:latin typeface="+mn-lt"/>
                <a:ea typeface="+mn-ea"/>
                <a:cs typeface="+mn-cs"/>
              </a:defRPr>
            </a:pPr>
            <a:r>
              <a:rPr lang="en-GB"/>
              <a:t>Employee</a:t>
            </a:r>
            <a:r>
              <a:rPr lang="en-GB" baseline="0%"/>
              <a:t> per</a:t>
            </a:r>
            <a:r>
              <a:rPr lang="en-GB"/>
              <a:t> Staff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
                  <a:lumOff val="25%"/>
                </a:schemeClr>
              </a:solidFill>
              <a:latin typeface="+mn-lt"/>
              <a:ea typeface="+mn-ea"/>
              <a:cs typeface="+mn-cs"/>
            </a:defRPr>
          </a:pPr>
          <a:endParaRPr lang="en-US"/>
        </a:p>
      </c:txPr>
    </c:title>
    <c:autoTitleDeleted val="0"/>
    <c:pivotFmts>
      <c:pivotFmt>
        <c:idx val="0"/>
        <c:spPr>
          <a:solidFill>
            <a:schemeClr val="accent1">
              <a:alpha val="8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'Role chart'!$B$3</c:f>
              <c:strCache>
                <c:ptCount val="1"/>
                <c:pt idx="0">
                  <c:v>Total</c:v>
                </c:pt>
              </c:strCache>
            </c:strRef>
          </c:tx>
          <c:spPr>
            <a:solidFill>
              <a:schemeClr val="accent1">
                <a:alpha val="85%"/>
              </a:schemeClr>
            </a:solidFill>
            <a:ln w="9525" cap="flat" cmpd="sng" algn="ctr">
              <a:solidFill>
                <a:schemeClr val="lt1">
                  <a:alpha val="5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
                          <a:lumOff val="50%"/>
                        </a:schemeClr>
                      </a:solidFill>
                    </a:ln>
                    <a:effectLst/>
                  </c:spPr>
                </c15:leaderLines>
              </c:ext>
            </c:extLst>
          </c:dLbls>
          <c:cat>
            <c:strRef>
              <c:f>'Role chart'!$A$4:$A$10</c:f>
              <c:strCache>
                <c:ptCount val="7"/>
                <c:pt idx="0">
                  <c:v>Assistant Manager</c:v>
                </c:pt>
                <c:pt idx="1">
                  <c:v>Attendant</c:v>
                </c:pt>
                <c:pt idx="2">
                  <c:v>Chef</c:v>
                </c:pt>
                <c:pt idx="3">
                  <c:v>Cleaner</c:v>
                </c:pt>
                <c:pt idx="4">
                  <c:v>Manager</c:v>
                </c:pt>
                <c:pt idx="5">
                  <c:v>Security</c:v>
                </c:pt>
                <c:pt idx="6">
                  <c:v>Steward</c:v>
                </c:pt>
              </c:strCache>
            </c:strRef>
          </c:cat>
          <c:val>
            <c:numRef>
              <c:f>'Role chart'!$B$4:$B$10</c:f>
              <c:numCache>
                <c:formatCode>General</c:formatCode>
                <c:ptCount val="7"/>
                <c:pt idx="0">
                  <c:v>1</c:v>
                </c:pt>
                <c:pt idx="1">
                  <c:v>4</c:v>
                </c:pt>
                <c:pt idx="2">
                  <c:v>2</c:v>
                </c:pt>
                <c:pt idx="3">
                  <c:v>2</c:v>
                </c:pt>
                <c:pt idx="4">
                  <c:v>1</c:v>
                </c:pt>
                <c:pt idx="5">
                  <c:v>3</c:v>
                </c:pt>
                <c:pt idx="6">
                  <c:v>3</c:v>
                </c:pt>
              </c:numCache>
            </c:numRef>
          </c:val>
          <c:extLst>
            <c:ext xmlns:c16="http://schemas.microsoft.com/office/drawing/2014/chart" uri="{C3380CC4-5D6E-409C-BE32-E72D297353CC}">
              <c16:uniqueId val="{00000000-78DD-4DC8-8A68-094CCFC9007C}"/>
            </c:ext>
          </c:extLst>
        </c:ser>
        <c:dLbls>
          <c:dLblPos val="inEnd"/>
          <c:showLegendKey val="0"/>
          <c:showVal val="1"/>
          <c:showCatName val="0"/>
          <c:showSerName val="0"/>
          <c:showPercent val="0"/>
          <c:showBubbleSize val="0"/>
        </c:dLbls>
        <c:gapWidth val="65"/>
        <c:axId val="685368079"/>
        <c:axId val="685392559"/>
      </c:barChart>
      <c:catAx>
        <c:axId val="685368079"/>
        <c:scaling>
          <c:orientation val="minMax"/>
        </c:scaling>
        <c:delete val="0"/>
        <c:axPos val="l"/>
        <c:numFmt formatCode="General" sourceLinked="1"/>
        <c:majorTickMark val="none"/>
        <c:minorTickMark val="none"/>
        <c:tickLblPos val="nextTo"/>
        <c:spPr>
          <a:noFill/>
          <a:ln w="19050" cap="flat" cmpd="sng" algn="ctr">
            <a:solidFill>
              <a:schemeClr val="dk1">
                <a:lumMod val="75%"/>
                <a:lumOff val="25%"/>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
                    <a:lumOff val="25%"/>
                  </a:schemeClr>
                </a:solidFill>
                <a:latin typeface="+mn-lt"/>
                <a:ea typeface="+mn-ea"/>
                <a:cs typeface="+mn-cs"/>
              </a:defRPr>
            </a:pPr>
            <a:endParaRPr lang="en-US"/>
          </a:p>
        </c:txPr>
        <c:crossAx val="685392559"/>
        <c:crosses val="autoZero"/>
        <c:auto val="1"/>
        <c:lblAlgn val="ctr"/>
        <c:lblOffset val="100"/>
        <c:noMultiLvlLbl val="0"/>
      </c:catAx>
      <c:valAx>
        <c:axId val="685392559"/>
        <c:scaling>
          <c:orientation val="minMax"/>
        </c:scaling>
        <c:delete val="1"/>
        <c:axPos val="b"/>
        <c:numFmt formatCode="General" sourceLinked="1"/>
        <c:majorTickMark val="none"/>
        <c:minorTickMark val="none"/>
        <c:tickLblPos val="nextTo"/>
        <c:crossAx val="6853680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Payroll.xlsx]Chart!PivotTable15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r>
              <a:rPr lang="en-GB"/>
              <a:t>Sum of Hourly pay by Staff role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Chart!$A$4:$A$19</c:f>
              <c:strCache>
                <c:ptCount val="16"/>
                <c:pt idx="0">
                  <c:v>Ali Diya</c:v>
                </c:pt>
                <c:pt idx="1">
                  <c:v>Ayla Lola</c:v>
                </c:pt>
                <c:pt idx="2">
                  <c:v>Charles Gabriel</c:v>
                </c:pt>
                <c:pt idx="3">
                  <c:v>Cora Nyla </c:v>
                </c:pt>
                <c:pt idx="4">
                  <c:v>Eric Hanna </c:v>
                </c:pt>
                <c:pt idx="5">
                  <c:v>Fatima Beatriz</c:v>
                </c:pt>
                <c:pt idx="6">
                  <c:v>Hanna Ruth</c:v>
                </c:pt>
                <c:pt idx="7">
                  <c:v>Iris Vera</c:v>
                </c:pt>
                <c:pt idx="8">
                  <c:v>Isreal Adesanya</c:v>
                </c:pt>
                <c:pt idx="9">
                  <c:v>June Jane</c:v>
                </c:pt>
                <c:pt idx="10">
                  <c:v>Kaia Esme</c:v>
                </c:pt>
                <c:pt idx="11">
                  <c:v>Myla Thea</c:v>
                </c:pt>
                <c:pt idx="12">
                  <c:v>Remi Evie</c:v>
                </c:pt>
                <c:pt idx="13">
                  <c:v>Ruby Eden</c:v>
                </c:pt>
                <c:pt idx="14">
                  <c:v>Sage Lena</c:v>
                </c:pt>
                <c:pt idx="15">
                  <c:v>Wren Leia</c:v>
                </c:pt>
              </c:strCache>
            </c:strRef>
          </c:cat>
          <c:val>
            <c:numRef>
              <c:f>Chart!$B$4:$B$19</c:f>
              <c:numCache>
                <c:formatCode>"£"#,##0.00</c:formatCode>
                <c:ptCount val="16"/>
                <c:pt idx="0">
                  <c:v>2078.4</c:v>
                </c:pt>
                <c:pt idx="1">
                  <c:v>1407.25</c:v>
                </c:pt>
                <c:pt idx="2">
                  <c:v>2370.6750000000002</c:v>
                </c:pt>
                <c:pt idx="3">
                  <c:v>2504.9050000000002</c:v>
                </c:pt>
                <c:pt idx="4">
                  <c:v>1845.6625000000001</c:v>
                </c:pt>
                <c:pt idx="5">
                  <c:v>3027.4818749999999</c:v>
                </c:pt>
                <c:pt idx="6">
                  <c:v>1533.2097000000001</c:v>
                </c:pt>
                <c:pt idx="7">
                  <c:v>1716.845</c:v>
                </c:pt>
                <c:pt idx="8">
                  <c:v>3039.66</c:v>
                </c:pt>
                <c:pt idx="9">
                  <c:v>2540.5842000000002</c:v>
                </c:pt>
                <c:pt idx="10">
                  <c:v>3841.1213500000003</c:v>
                </c:pt>
                <c:pt idx="11">
                  <c:v>1754.2129000000002</c:v>
                </c:pt>
                <c:pt idx="12">
                  <c:v>1407.25</c:v>
                </c:pt>
                <c:pt idx="13">
                  <c:v>1374.6018000000001</c:v>
                </c:pt>
                <c:pt idx="14">
                  <c:v>1569.625</c:v>
                </c:pt>
                <c:pt idx="15">
                  <c:v>1632.41</c:v>
                </c:pt>
              </c:numCache>
            </c:numRef>
          </c:val>
          <c:extLst>
            <c:ext xmlns:c16="http://schemas.microsoft.com/office/drawing/2014/chart" uri="{C3380CC4-5D6E-409C-BE32-E72D297353CC}">
              <c16:uniqueId val="{00000002-CB53-4396-8A3C-F689C7951FF5}"/>
            </c:ext>
          </c:extLst>
        </c:ser>
        <c:dLbls>
          <c:dLblPos val="outEnd"/>
          <c:showLegendKey val="0"/>
          <c:showVal val="1"/>
          <c:showCatName val="0"/>
          <c:showSerName val="0"/>
          <c:showPercent val="0"/>
          <c:showBubbleSize val="0"/>
        </c:dLbls>
        <c:gapWidth val="444"/>
        <c:overlap val="-90"/>
        <c:axId val="2047235232"/>
        <c:axId val="2047236192"/>
      </c:barChart>
      <c:catAx>
        <c:axId val="2047235232"/>
        <c:scaling>
          <c:orientation val="minMax"/>
        </c:scaling>
        <c:delete val="0"/>
        <c:axPos val="b"/>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
                    <a:lumOff val="35%"/>
                  </a:schemeClr>
                </a:solidFill>
                <a:latin typeface="+mn-lt"/>
                <a:ea typeface="+mn-ea"/>
                <a:cs typeface="+mn-cs"/>
              </a:defRPr>
            </a:pPr>
            <a:endParaRPr lang="en-US"/>
          </a:p>
        </c:txPr>
        <c:crossAx val="2047236192"/>
        <c:crosses val="autoZero"/>
        <c:auto val="1"/>
        <c:lblAlgn val="ctr"/>
        <c:lblOffset val="100"/>
        <c:noMultiLvlLbl val="0"/>
      </c:catAx>
      <c:valAx>
        <c:axId val="2047236192"/>
        <c:scaling>
          <c:orientation val="minMax"/>
        </c:scaling>
        <c:delete val="1"/>
        <c:axPos val="l"/>
        <c:numFmt formatCode="&quot;£&quot;#,##0.00" sourceLinked="1"/>
        <c:majorTickMark val="none"/>
        <c:minorTickMark val="none"/>
        <c:tickLblPos val="nextTo"/>
        <c:crossAx val="2047235232"/>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Payroll.xlsx]Overtime chart!PivotTable30</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 chart'!$B$3</c:f>
              <c:strCache>
                <c:ptCount val="1"/>
                <c:pt idx="0">
                  <c:v>Total</c:v>
                </c:pt>
              </c:strCache>
            </c:strRef>
          </c:tx>
          <c:spPr>
            <a:solidFill>
              <a:schemeClr val="accent1">
                <a:alpha val="85%"/>
              </a:schemeClr>
            </a:solidFill>
            <a:ln w="9525" cap="flat" cmpd="sng" algn="ctr">
              <a:solidFill>
                <a:schemeClr val="lt1">
                  <a:alpha val="5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
                          <a:lumOff val="50%"/>
                        </a:schemeClr>
                      </a:solidFill>
                    </a:ln>
                    <a:effectLst/>
                  </c:spPr>
                </c15:leaderLines>
              </c:ext>
            </c:extLst>
          </c:dLbls>
          <c:cat>
            <c:strRef>
              <c:f>'Overtime chart'!$A$4:$A$19</c:f>
              <c:strCache>
                <c:ptCount val="16"/>
                <c:pt idx="0">
                  <c:v>Ali Diya</c:v>
                </c:pt>
                <c:pt idx="1">
                  <c:v>Ayla Lola</c:v>
                </c:pt>
                <c:pt idx="2">
                  <c:v>Charles Gabriel</c:v>
                </c:pt>
                <c:pt idx="3">
                  <c:v>Cora Nyla </c:v>
                </c:pt>
                <c:pt idx="4">
                  <c:v>Eric Hanna </c:v>
                </c:pt>
                <c:pt idx="5">
                  <c:v>Fatima Beatriz</c:v>
                </c:pt>
                <c:pt idx="6">
                  <c:v>Hanna Ruth</c:v>
                </c:pt>
                <c:pt idx="7">
                  <c:v>Iris Vera</c:v>
                </c:pt>
                <c:pt idx="8">
                  <c:v>Isreal Adesanya</c:v>
                </c:pt>
                <c:pt idx="9">
                  <c:v>June Jane</c:v>
                </c:pt>
                <c:pt idx="10">
                  <c:v>Kaia Esme</c:v>
                </c:pt>
                <c:pt idx="11">
                  <c:v>Myla Thea</c:v>
                </c:pt>
                <c:pt idx="12">
                  <c:v>Remi Evie</c:v>
                </c:pt>
                <c:pt idx="13">
                  <c:v>Ruby Eden</c:v>
                </c:pt>
                <c:pt idx="14">
                  <c:v>Sage Lena</c:v>
                </c:pt>
                <c:pt idx="15">
                  <c:v>Wren Leia</c:v>
                </c:pt>
              </c:strCache>
            </c:strRef>
          </c:cat>
          <c:val>
            <c:numRef>
              <c:f>'Overtime chart'!$B$4:$B$19</c:f>
              <c:numCache>
                <c:formatCode>General</c:formatCode>
                <c:ptCount val="16"/>
                <c:pt idx="0">
                  <c:v>4</c:v>
                </c:pt>
                <c:pt idx="2">
                  <c:v>3</c:v>
                </c:pt>
                <c:pt idx="3">
                  <c:v>7</c:v>
                </c:pt>
                <c:pt idx="4">
                  <c:v>1</c:v>
                </c:pt>
                <c:pt idx="5">
                  <c:v>0.25</c:v>
                </c:pt>
                <c:pt idx="6">
                  <c:v>2</c:v>
                </c:pt>
                <c:pt idx="7">
                  <c:v>3</c:v>
                </c:pt>
                <c:pt idx="8">
                  <c:v>12</c:v>
                </c:pt>
                <c:pt idx="10">
                  <c:v>5</c:v>
                </c:pt>
                <c:pt idx="11">
                  <c:v>2</c:v>
                </c:pt>
                <c:pt idx="14">
                  <c:v>2</c:v>
                </c:pt>
              </c:numCache>
            </c:numRef>
          </c:val>
          <c:extLst>
            <c:ext xmlns:c16="http://schemas.microsoft.com/office/drawing/2014/chart" uri="{C3380CC4-5D6E-409C-BE32-E72D297353CC}">
              <c16:uniqueId val="{00000002-AFB6-47FB-899C-F1551A9E79BB}"/>
            </c:ext>
          </c:extLst>
        </c:ser>
        <c:dLbls>
          <c:dLblPos val="inEnd"/>
          <c:showLegendKey val="0"/>
          <c:showVal val="1"/>
          <c:showCatName val="0"/>
          <c:showSerName val="0"/>
          <c:showPercent val="0"/>
          <c:showBubbleSize val="0"/>
        </c:dLbls>
        <c:gapWidth val="65"/>
        <c:axId val="314945136"/>
        <c:axId val="314943696"/>
      </c:barChart>
      <c:catAx>
        <c:axId val="314945136"/>
        <c:scaling>
          <c:orientation val="minMax"/>
        </c:scaling>
        <c:delete val="0"/>
        <c:axPos val="l"/>
        <c:numFmt formatCode="General" sourceLinked="1"/>
        <c:majorTickMark val="none"/>
        <c:minorTickMark val="none"/>
        <c:tickLblPos val="nextTo"/>
        <c:spPr>
          <a:noFill/>
          <a:ln w="19050" cap="flat" cmpd="sng" algn="ctr">
            <a:solidFill>
              <a:schemeClr val="dk1">
                <a:lumMod val="75%"/>
                <a:lumOff val="25%"/>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
                    <a:lumOff val="25%"/>
                  </a:schemeClr>
                </a:solidFill>
                <a:latin typeface="+mn-lt"/>
                <a:ea typeface="+mn-ea"/>
                <a:cs typeface="+mn-cs"/>
              </a:defRPr>
            </a:pPr>
            <a:endParaRPr lang="en-US"/>
          </a:p>
        </c:txPr>
        <c:crossAx val="314943696"/>
        <c:crosses val="autoZero"/>
        <c:auto val="1"/>
        <c:lblAlgn val="ctr"/>
        <c:lblOffset val="100"/>
        <c:noMultiLvlLbl val="0"/>
      </c:catAx>
      <c:valAx>
        <c:axId val="314943696"/>
        <c:scaling>
          <c:orientation val="minMax"/>
        </c:scaling>
        <c:delete val="1"/>
        <c:axPos val="b"/>
        <c:majorGridlines>
          <c:spPr>
            <a:ln w="9525" cap="flat" cmpd="sng" algn="ctr">
              <a:gradFill>
                <a:gsLst>
                  <a:gs pos="100%">
                    <a:schemeClr val="dk1">
                      <a:lumMod val="95%"/>
                      <a:lumOff val="5%"/>
                      <a:alpha val="42%"/>
                    </a:schemeClr>
                  </a:gs>
                  <a:gs pos="0%">
                    <a:schemeClr val="lt1">
                      <a:lumMod val="75%"/>
                      <a:alpha val="36%"/>
                    </a:schemeClr>
                  </a:gs>
                </a:gsLst>
                <a:lin ang="5400000" scaled="0"/>
              </a:gradFill>
              <a:round/>
            </a:ln>
            <a:effectLst/>
          </c:spPr>
        </c:majorGridlines>
        <c:numFmt formatCode="General" sourceLinked="1"/>
        <c:majorTickMark val="none"/>
        <c:minorTickMark val="none"/>
        <c:tickLblPos val="nextTo"/>
        <c:crossAx val="314945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Payroll.xlsx]Role chart!PivotTable25</c:name>
    <c:fmtId val="14"/>
  </c:pivotSource>
  <c:chart>
    <c:autoTitleDeleted val="1"/>
    <c:pivotFmts>
      <c:pivotFmt>
        <c:idx val="0"/>
        <c:spPr>
          <a:solidFill>
            <a:schemeClr val="accent1">
              <a:alpha val="85%"/>
            </a:schemeClr>
          </a:solidFill>
          <a:ln w="9525" cap="flat" cmpd="sng" algn="ctr">
            <a:solidFill>
              <a:schemeClr val="lt1">
                <a:alpha val="50%"/>
              </a:schemeClr>
            </a:solidFill>
            <a:round/>
          </a:ln>
          <a:effectLst/>
        </c:spPr>
        <c:marker>
          <c:symbol val="circle"/>
          <c:size val="6"/>
          <c:spPr>
            <a:solidFill>
              <a:schemeClr val="accent1">
                <a:alpha val="85%"/>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49245226841272"/>
          <c:y val="0.26774179218918093"/>
          <c:w val="0.7722166762755639"/>
          <c:h val="0.72884380360897216"/>
        </c:manualLayout>
      </c:layout>
      <c:barChart>
        <c:barDir val="bar"/>
        <c:grouping val="clustered"/>
        <c:varyColors val="0"/>
        <c:ser>
          <c:idx val="0"/>
          <c:order val="0"/>
          <c:tx>
            <c:strRef>
              <c:f>'Role chart'!$B$3</c:f>
              <c:strCache>
                <c:ptCount val="1"/>
                <c:pt idx="0">
                  <c:v>Total</c:v>
                </c:pt>
              </c:strCache>
            </c:strRef>
          </c:tx>
          <c:spPr>
            <a:solidFill>
              <a:schemeClr val="accent6">
                <a:lumMod val="75%"/>
              </a:schemeClr>
            </a:solidFill>
            <a:ln w="9525" cap="flat" cmpd="sng" algn="ctr">
              <a:solidFill>
                <a:schemeClr val="lt1">
                  <a:alpha val="5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
                          <a:lumOff val="50%"/>
                        </a:schemeClr>
                      </a:solidFill>
                    </a:ln>
                    <a:effectLst/>
                  </c:spPr>
                </c15:leaderLines>
              </c:ext>
            </c:extLst>
          </c:dLbls>
          <c:cat>
            <c:strRef>
              <c:f>'Role chart'!$A$4:$A$10</c:f>
              <c:strCache>
                <c:ptCount val="7"/>
                <c:pt idx="0">
                  <c:v>Assistant Manager</c:v>
                </c:pt>
                <c:pt idx="1">
                  <c:v>Attendant</c:v>
                </c:pt>
                <c:pt idx="2">
                  <c:v>Chef</c:v>
                </c:pt>
                <c:pt idx="3">
                  <c:v>Cleaner</c:v>
                </c:pt>
                <c:pt idx="4">
                  <c:v>Manager</c:v>
                </c:pt>
                <c:pt idx="5">
                  <c:v>Security</c:v>
                </c:pt>
                <c:pt idx="6">
                  <c:v>Steward</c:v>
                </c:pt>
              </c:strCache>
            </c:strRef>
          </c:cat>
          <c:val>
            <c:numRef>
              <c:f>'Role chart'!$B$4:$B$10</c:f>
              <c:numCache>
                <c:formatCode>General</c:formatCode>
                <c:ptCount val="7"/>
                <c:pt idx="0">
                  <c:v>1</c:v>
                </c:pt>
                <c:pt idx="1">
                  <c:v>4</c:v>
                </c:pt>
                <c:pt idx="2">
                  <c:v>2</c:v>
                </c:pt>
                <c:pt idx="3">
                  <c:v>2</c:v>
                </c:pt>
                <c:pt idx="4">
                  <c:v>1</c:v>
                </c:pt>
                <c:pt idx="5">
                  <c:v>3</c:v>
                </c:pt>
                <c:pt idx="6">
                  <c:v>3</c:v>
                </c:pt>
              </c:numCache>
            </c:numRef>
          </c:val>
          <c:extLst>
            <c:ext xmlns:c16="http://schemas.microsoft.com/office/drawing/2014/chart" uri="{C3380CC4-5D6E-409C-BE32-E72D297353CC}">
              <c16:uniqueId val="{00000000-9EDD-4349-9563-B2D31F58D4D2}"/>
            </c:ext>
          </c:extLst>
        </c:ser>
        <c:dLbls>
          <c:dLblPos val="inEnd"/>
          <c:showLegendKey val="0"/>
          <c:showVal val="1"/>
          <c:showCatName val="0"/>
          <c:showSerName val="0"/>
          <c:showPercent val="0"/>
          <c:showBubbleSize val="0"/>
        </c:dLbls>
        <c:gapWidth val="65"/>
        <c:axId val="685368079"/>
        <c:axId val="685392559"/>
      </c:barChart>
      <c:catAx>
        <c:axId val="685368079"/>
        <c:scaling>
          <c:orientation val="minMax"/>
        </c:scaling>
        <c:delete val="0"/>
        <c:axPos val="l"/>
        <c:numFmt formatCode="General" sourceLinked="1"/>
        <c:majorTickMark val="none"/>
        <c:minorTickMark val="none"/>
        <c:tickLblPos val="nextTo"/>
        <c:spPr>
          <a:noFill/>
          <a:ln w="19050" cap="flat" cmpd="sng" algn="ctr">
            <a:solidFill>
              <a:schemeClr val="dk1">
                <a:lumMod val="75%"/>
                <a:lumOff val="25%"/>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
                    <a:lumOff val="25%"/>
                  </a:schemeClr>
                </a:solidFill>
                <a:latin typeface="+mn-lt"/>
                <a:ea typeface="+mn-ea"/>
                <a:cs typeface="+mn-cs"/>
              </a:defRPr>
            </a:pPr>
            <a:endParaRPr lang="en-US"/>
          </a:p>
        </c:txPr>
        <c:crossAx val="685392559"/>
        <c:crosses val="autoZero"/>
        <c:auto val="1"/>
        <c:lblAlgn val="ctr"/>
        <c:lblOffset val="100"/>
        <c:noMultiLvlLbl val="0"/>
      </c:catAx>
      <c:valAx>
        <c:axId val="685392559"/>
        <c:scaling>
          <c:orientation val="minMax"/>
        </c:scaling>
        <c:delete val="1"/>
        <c:axPos val="b"/>
        <c:numFmt formatCode="General" sourceLinked="1"/>
        <c:majorTickMark val="none"/>
        <c:minorTickMark val="none"/>
        <c:tickLblPos val="nextTo"/>
        <c:crossAx val="6853680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Payroll.xlsx]Chart!PivotTable15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33602557812803E-2"/>
          <c:y val="5.3993981584225935E-2"/>
          <c:w val="0.88182921565716499"/>
          <c:h val="0.54226878459122307"/>
        </c:manualLayout>
      </c:layout>
      <c:barChart>
        <c:barDir val="col"/>
        <c:grouping val="clustered"/>
        <c:varyColors val="0"/>
        <c:ser>
          <c:idx val="0"/>
          <c:order val="0"/>
          <c:tx>
            <c:strRef>
              <c:f>Chart!$B$3</c:f>
              <c:strCache>
                <c:ptCount val="1"/>
                <c:pt idx="0">
                  <c:v>Total</c:v>
                </c:pt>
              </c:strCache>
            </c:strRef>
          </c:tx>
          <c:spPr>
            <a:solidFill>
              <a:srgbClr val="00B05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
                        <a:lumOff val="5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
                          <a:lumOff val="65%"/>
                        </a:schemeClr>
                      </a:solidFill>
                    </a:ln>
                    <a:effectLst/>
                  </c:spPr>
                </c15:leaderLines>
              </c:ext>
            </c:extLst>
          </c:dLbls>
          <c:cat>
            <c:strRef>
              <c:f>Chart!$A$4:$A$19</c:f>
              <c:strCache>
                <c:ptCount val="16"/>
                <c:pt idx="0">
                  <c:v>Ali Diya</c:v>
                </c:pt>
                <c:pt idx="1">
                  <c:v>Ayla Lola</c:v>
                </c:pt>
                <c:pt idx="2">
                  <c:v>Charles Gabriel</c:v>
                </c:pt>
                <c:pt idx="3">
                  <c:v>Cora Nyla </c:v>
                </c:pt>
                <c:pt idx="4">
                  <c:v>Eric Hanna </c:v>
                </c:pt>
                <c:pt idx="5">
                  <c:v>Fatima Beatriz</c:v>
                </c:pt>
                <c:pt idx="6">
                  <c:v>Hanna Ruth</c:v>
                </c:pt>
                <c:pt idx="7">
                  <c:v>Iris Vera</c:v>
                </c:pt>
                <c:pt idx="8">
                  <c:v>Isreal Adesanya</c:v>
                </c:pt>
                <c:pt idx="9">
                  <c:v>June Jane</c:v>
                </c:pt>
                <c:pt idx="10">
                  <c:v>Kaia Esme</c:v>
                </c:pt>
                <c:pt idx="11">
                  <c:v>Myla Thea</c:v>
                </c:pt>
                <c:pt idx="12">
                  <c:v>Remi Evie</c:v>
                </c:pt>
                <c:pt idx="13">
                  <c:v>Ruby Eden</c:v>
                </c:pt>
                <c:pt idx="14">
                  <c:v>Sage Lena</c:v>
                </c:pt>
                <c:pt idx="15">
                  <c:v>Wren Leia</c:v>
                </c:pt>
              </c:strCache>
            </c:strRef>
          </c:cat>
          <c:val>
            <c:numRef>
              <c:f>Chart!$B$4:$B$19</c:f>
              <c:numCache>
                <c:formatCode>"£"#,##0.00</c:formatCode>
                <c:ptCount val="16"/>
                <c:pt idx="0">
                  <c:v>2078.4</c:v>
                </c:pt>
                <c:pt idx="1">
                  <c:v>1407.25</c:v>
                </c:pt>
                <c:pt idx="2">
                  <c:v>2370.6750000000002</c:v>
                </c:pt>
                <c:pt idx="3">
                  <c:v>2504.9050000000002</c:v>
                </c:pt>
                <c:pt idx="4">
                  <c:v>1845.6625000000001</c:v>
                </c:pt>
                <c:pt idx="5">
                  <c:v>3027.4818749999999</c:v>
                </c:pt>
                <c:pt idx="6">
                  <c:v>1533.2097000000001</c:v>
                </c:pt>
                <c:pt idx="7">
                  <c:v>1716.845</c:v>
                </c:pt>
                <c:pt idx="8">
                  <c:v>3039.66</c:v>
                </c:pt>
                <c:pt idx="9">
                  <c:v>2540.5842000000002</c:v>
                </c:pt>
                <c:pt idx="10">
                  <c:v>3841.1213500000003</c:v>
                </c:pt>
                <c:pt idx="11">
                  <c:v>1754.2129000000002</c:v>
                </c:pt>
                <c:pt idx="12">
                  <c:v>1407.25</c:v>
                </c:pt>
                <c:pt idx="13">
                  <c:v>1374.6018000000001</c:v>
                </c:pt>
                <c:pt idx="14">
                  <c:v>1569.625</c:v>
                </c:pt>
                <c:pt idx="15">
                  <c:v>1632.41</c:v>
                </c:pt>
              </c:numCache>
            </c:numRef>
          </c:val>
          <c:extLst>
            <c:ext xmlns:c16="http://schemas.microsoft.com/office/drawing/2014/chart" uri="{C3380CC4-5D6E-409C-BE32-E72D297353CC}">
              <c16:uniqueId val="{00000000-5E96-4FD5-A1E8-E3EC71A871AA}"/>
            </c:ext>
          </c:extLst>
        </c:ser>
        <c:dLbls>
          <c:dLblPos val="outEnd"/>
          <c:showLegendKey val="0"/>
          <c:showVal val="1"/>
          <c:showCatName val="0"/>
          <c:showSerName val="0"/>
          <c:showPercent val="0"/>
          <c:showBubbleSize val="0"/>
        </c:dLbls>
        <c:gapWidth val="444"/>
        <c:overlap val="-90"/>
        <c:axId val="2047235232"/>
        <c:axId val="2047236192"/>
      </c:barChart>
      <c:catAx>
        <c:axId val="204723523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
                    <a:lumOff val="35%"/>
                  </a:schemeClr>
                </a:solidFill>
                <a:latin typeface="+mn-lt"/>
                <a:ea typeface="+mn-ea"/>
                <a:cs typeface="+mn-cs"/>
              </a:defRPr>
            </a:pPr>
            <a:endParaRPr lang="en-US"/>
          </a:p>
        </c:txPr>
        <c:crossAx val="2047236192"/>
        <c:crosses val="autoZero"/>
        <c:auto val="1"/>
        <c:lblAlgn val="ctr"/>
        <c:lblOffset val="100"/>
        <c:noMultiLvlLbl val="0"/>
      </c:catAx>
      <c:valAx>
        <c:axId val="2047236192"/>
        <c:scaling>
          <c:orientation val="minMax"/>
        </c:scaling>
        <c:delete val="1"/>
        <c:axPos val="l"/>
        <c:numFmt formatCode="&quot;£&quot;#,##0.00" sourceLinked="1"/>
        <c:majorTickMark val="none"/>
        <c:minorTickMark val="none"/>
        <c:tickLblPos val="nextTo"/>
        <c:crossAx val="204723523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Payroll.xlsx]Overtime chart!PivotTable30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
            </a:schemeClr>
          </a:solidFill>
          <a:ln w="9525" cap="flat" cmpd="sng" algn="ctr">
            <a:solidFill>
              <a:schemeClr val="lt1">
                <a:alpha val="50%"/>
              </a:schemeClr>
            </a:solidFill>
            <a:round/>
          </a:ln>
          <a:effectLst/>
        </c:spPr>
        <c:marker>
          <c:symbol val="circle"/>
          <c:size val="6"/>
          <c:spPr>
            <a:solidFill>
              <a:schemeClr val="accent1">
                <a:alpha val="85%"/>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
            </a:schemeClr>
          </a:solidFill>
          <a:ln w="9525" cap="flat" cmpd="sng" algn="ctr">
            <a:solidFill>
              <a:schemeClr val="lt1">
                <a:alpha val="5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'Overtime chart'!$B$3</c:f>
              <c:strCache>
                <c:ptCount val="1"/>
                <c:pt idx="0">
                  <c:v>Total</c:v>
                </c:pt>
              </c:strCache>
            </c:strRef>
          </c:tx>
          <c:spPr>
            <a:solidFill>
              <a:schemeClr val="accent2">
                <a:lumMod val="75%"/>
              </a:schemeClr>
            </a:solidFill>
            <a:ln w="9525" cap="flat" cmpd="sng" algn="ctr">
              <a:solidFill>
                <a:schemeClr val="lt1">
                  <a:alpha val="5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
                          <a:lumOff val="50%"/>
                        </a:schemeClr>
                      </a:solidFill>
                    </a:ln>
                    <a:effectLst/>
                  </c:spPr>
                </c15:leaderLines>
              </c:ext>
            </c:extLst>
          </c:dLbls>
          <c:cat>
            <c:strRef>
              <c:f>'Overtime chart'!$A$4:$A$19</c:f>
              <c:strCache>
                <c:ptCount val="16"/>
                <c:pt idx="0">
                  <c:v>Ali Diya</c:v>
                </c:pt>
                <c:pt idx="1">
                  <c:v>Ayla Lola</c:v>
                </c:pt>
                <c:pt idx="2">
                  <c:v>Charles Gabriel</c:v>
                </c:pt>
                <c:pt idx="3">
                  <c:v>Cora Nyla </c:v>
                </c:pt>
                <c:pt idx="4">
                  <c:v>Eric Hanna </c:v>
                </c:pt>
                <c:pt idx="5">
                  <c:v>Fatima Beatriz</c:v>
                </c:pt>
                <c:pt idx="6">
                  <c:v>Hanna Ruth</c:v>
                </c:pt>
                <c:pt idx="7">
                  <c:v>Iris Vera</c:v>
                </c:pt>
                <c:pt idx="8">
                  <c:v>Isreal Adesanya</c:v>
                </c:pt>
                <c:pt idx="9">
                  <c:v>June Jane</c:v>
                </c:pt>
                <c:pt idx="10">
                  <c:v>Kaia Esme</c:v>
                </c:pt>
                <c:pt idx="11">
                  <c:v>Myla Thea</c:v>
                </c:pt>
                <c:pt idx="12">
                  <c:v>Remi Evie</c:v>
                </c:pt>
                <c:pt idx="13">
                  <c:v>Ruby Eden</c:v>
                </c:pt>
                <c:pt idx="14">
                  <c:v>Sage Lena</c:v>
                </c:pt>
                <c:pt idx="15">
                  <c:v>Wren Leia</c:v>
                </c:pt>
              </c:strCache>
            </c:strRef>
          </c:cat>
          <c:val>
            <c:numRef>
              <c:f>'Overtime chart'!$B$4:$B$19</c:f>
              <c:numCache>
                <c:formatCode>General</c:formatCode>
                <c:ptCount val="16"/>
                <c:pt idx="0">
                  <c:v>4</c:v>
                </c:pt>
                <c:pt idx="2">
                  <c:v>3</c:v>
                </c:pt>
                <c:pt idx="3">
                  <c:v>7</c:v>
                </c:pt>
                <c:pt idx="4">
                  <c:v>1</c:v>
                </c:pt>
                <c:pt idx="5">
                  <c:v>0.25</c:v>
                </c:pt>
                <c:pt idx="6">
                  <c:v>2</c:v>
                </c:pt>
                <c:pt idx="7">
                  <c:v>3</c:v>
                </c:pt>
                <c:pt idx="8">
                  <c:v>12</c:v>
                </c:pt>
                <c:pt idx="10">
                  <c:v>5</c:v>
                </c:pt>
                <c:pt idx="11">
                  <c:v>2</c:v>
                </c:pt>
                <c:pt idx="14">
                  <c:v>2</c:v>
                </c:pt>
              </c:numCache>
            </c:numRef>
          </c:val>
          <c:extLst>
            <c:ext xmlns:c16="http://schemas.microsoft.com/office/drawing/2014/chart" uri="{C3380CC4-5D6E-409C-BE32-E72D297353CC}">
              <c16:uniqueId val="{00000000-2C42-4253-8681-40E693523CD9}"/>
            </c:ext>
          </c:extLst>
        </c:ser>
        <c:dLbls>
          <c:dLblPos val="inEnd"/>
          <c:showLegendKey val="0"/>
          <c:showVal val="1"/>
          <c:showCatName val="0"/>
          <c:showSerName val="0"/>
          <c:showPercent val="0"/>
          <c:showBubbleSize val="0"/>
        </c:dLbls>
        <c:gapWidth val="65"/>
        <c:axId val="314945136"/>
        <c:axId val="314943696"/>
      </c:barChart>
      <c:catAx>
        <c:axId val="314945136"/>
        <c:scaling>
          <c:orientation val="minMax"/>
        </c:scaling>
        <c:delete val="0"/>
        <c:axPos val="l"/>
        <c:numFmt formatCode="General" sourceLinked="1"/>
        <c:majorTickMark val="none"/>
        <c:minorTickMark val="none"/>
        <c:tickLblPos val="nextTo"/>
        <c:spPr>
          <a:noFill/>
          <a:ln w="19050" cap="flat" cmpd="sng" algn="ctr">
            <a:solidFill>
              <a:schemeClr val="dk1">
                <a:lumMod val="75%"/>
                <a:lumOff val="25%"/>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
                    <a:lumOff val="25%"/>
                  </a:schemeClr>
                </a:solidFill>
                <a:latin typeface="+mn-lt"/>
                <a:ea typeface="+mn-ea"/>
                <a:cs typeface="+mn-cs"/>
              </a:defRPr>
            </a:pPr>
            <a:endParaRPr lang="en-US"/>
          </a:p>
        </c:txPr>
        <c:crossAx val="314943696"/>
        <c:crosses val="autoZero"/>
        <c:auto val="1"/>
        <c:lblAlgn val="ctr"/>
        <c:lblOffset val="100"/>
        <c:noMultiLvlLbl val="0"/>
      </c:catAx>
      <c:valAx>
        <c:axId val="314943696"/>
        <c:scaling>
          <c:orientation val="minMax"/>
        </c:scaling>
        <c:delete val="1"/>
        <c:axPos val="b"/>
        <c:numFmt formatCode="General" sourceLinked="1"/>
        <c:majorTickMark val="none"/>
        <c:minorTickMark val="none"/>
        <c:tickLblPos val="nextTo"/>
        <c:crossAx val="314945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18">
  <cs:axisTitle>
    <cs:lnRef idx="0"/>
    <cs:fillRef idx="0"/>
    <cs:effectRef idx="0"/>
    <cs:fontRef idx="minor">
      <a:schemeClr val="dk1">
        <a:lumMod val="75%"/>
        <a:lumOff val="25%"/>
      </a:schemeClr>
    </cs:fontRef>
    <cs:defRPr sz="900" b="1" kern="12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
          <a:lumOff val="35%"/>
          <a:alpha val="75%"/>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
  <cs:dataPoint3D>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31750" cap="rnd">
        <a:solidFill>
          <a:schemeClr val="phClr">
            <a:alpha val="85%"/>
          </a:schemeClr>
        </a:solidFill>
        <a:round/>
      </a:ln>
    </cs:spPr>
  </cs:dataPointLine>
  <cs:dataPointMarker>
    <cs:lnRef idx="0"/>
    <cs:fillRef idx="0">
      <cs:styleClr val="auto"/>
    </cs:fillRef>
    <cs:effectRef idx="0"/>
    <cs:fontRef idx="minor">
      <a:schemeClr val="dk1"/>
    </cs:fontRef>
    <cs:spPr>
      <a:solidFill>
        <a:schemeClr val="phClr">
          <a:alpha val="85%"/>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35%"/>
            <a:lumOff val="65%"/>
          </a:schemeClr>
        </a:solidFill>
      </a:ln>
    </cs:spPr>
    <cs:defRPr sz="900" kern="12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dk1"/>
    </cs:fontRef>
    <cs:spPr>
      <a:ln w="9525">
        <a:solidFill>
          <a:schemeClr val="dk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schemeClr>
            </a:gs>
            <a:gs pos="0%">
              <a:schemeClr val="lt1">
                <a:lumMod val="75%"/>
                <a:alpha val="36%"/>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a:solidFill>
          <a:schemeClr val="dk1">
            <a:lumMod val="50%"/>
            <a:lumOff val="50%"/>
          </a:schemeClr>
        </a:solidFill>
      </a:ln>
    </cs:spPr>
  </cs:leaderLine>
  <cs:legend>
    <cs:lnRef idx="0"/>
    <cs:fillRef idx="0"/>
    <cs:effectRef idx="0"/>
    <cs:fontRef idx="minor">
      <a:schemeClr val="dk1">
        <a:lumMod val="75%"/>
        <a:lumOff val="25%"/>
      </a:schemeClr>
    </cs:fontRef>
    <cs:spPr>
      <a:solidFill>
        <a:schemeClr val="lt1">
          <a:lumMod val="95%"/>
          <a:alpha val="39%"/>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31750" cap="flat" cmpd="sng" algn="ctr">
        <a:solidFill>
          <a:schemeClr val="dk1">
            <a:lumMod val="75%"/>
            <a:lumOff val="25%"/>
          </a:schemeClr>
        </a:solidFill>
        <a:round/>
      </a:ln>
    </cs:spPr>
    <cs:defRPr sz="900" kern="1200"/>
  </cs:seriesAxis>
  <cs:seriesLine>
    <cs:lnRef idx="0"/>
    <cs:fillRef idx="0"/>
    <cs:effectRef idx="0"/>
    <cs:fontRef idx="minor">
      <a:schemeClr val="dk1"/>
    </cs:fontRef>
    <cs:spPr>
      <a:ln w="9525">
        <a:solidFill>
          <a:schemeClr val="dk1">
            <a:lumMod val="50%"/>
            <a:lumOff val="50%"/>
          </a:schemeClr>
        </a:solidFill>
        <a:round/>
      </a:ln>
    </cs:spPr>
  </cs:seriesLine>
  <cs:title>
    <cs:lnRef idx="0"/>
    <cs:fillRef idx="0"/>
    <cs:effectRef idx="0"/>
    <cs:fontRef idx="minor">
      <a:schemeClr val="dk1">
        <a:lumMod val="75%"/>
        <a:lumOff val="25%"/>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
        <a:lumOff val="25%"/>
      </a:schemeClr>
    </cs:fontRef>
    <cs:defRPr sz="900" kern="12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purl.oclc.org/ooxml/drawingml/main" id="202">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50%"/>
        <a:lumOff val="5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15%"/>
            <a:lumOff val="8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8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spPr>
      <a:ln w="9525" cap="flat" cmpd="sng" algn="ctr">
        <a:solidFill>
          <a:schemeClr val="dk1">
            <a:lumMod val="15%"/>
            <a:lumOff val="85%"/>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purl.oclc.org/ooxml/drawingml/main" id="218">
  <cs:axisTitle>
    <cs:lnRef idx="0"/>
    <cs:fillRef idx="0"/>
    <cs:effectRef idx="0"/>
    <cs:fontRef idx="minor">
      <a:schemeClr val="dk1">
        <a:lumMod val="75%"/>
        <a:lumOff val="25%"/>
      </a:schemeClr>
    </cs:fontRef>
    <cs:defRPr sz="900" b="1" kern="12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
          <a:lumOff val="35%"/>
          <a:alpha val="75%"/>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
  <cs:dataPoint3D>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31750" cap="rnd">
        <a:solidFill>
          <a:schemeClr val="phClr">
            <a:alpha val="85%"/>
          </a:schemeClr>
        </a:solidFill>
        <a:round/>
      </a:ln>
    </cs:spPr>
  </cs:dataPointLine>
  <cs:dataPointMarker>
    <cs:lnRef idx="0"/>
    <cs:fillRef idx="0">
      <cs:styleClr val="auto"/>
    </cs:fillRef>
    <cs:effectRef idx="0"/>
    <cs:fontRef idx="minor">
      <a:schemeClr val="dk1"/>
    </cs:fontRef>
    <cs:spPr>
      <a:solidFill>
        <a:schemeClr val="phClr">
          <a:alpha val="85%"/>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35%"/>
            <a:lumOff val="65%"/>
          </a:schemeClr>
        </a:solidFill>
      </a:ln>
    </cs:spPr>
    <cs:defRPr sz="900" kern="12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dk1"/>
    </cs:fontRef>
    <cs:spPr>
      <a:ln w="9525">
        <a:solidFill>
          <a:schemeClr val="dk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schemeClr>
            </a:gs>
            <a:gs pos="0%">
              <a:schemeClr val="lt1">
                <a:lumMod val="75%"/>
                <a:alpha val="36%"/>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a:solidFill>
          <a:schemeClr val="dk1">
            <a:lumMod val="50%"/>
            <a:lumOff val="50%"/>
          </a:schemeClr>
        </a:solidFill>
      </a:ln>
    </cs:spPr>
  </cs:leaderLine>
  <cs:legend>
    <cs:lnRef idx="0"/>
    <cs:fillRef idx="0"/>
    <cs:effectRef idx="0"/>
    <cs:fontRef idx="minor">
      <a:schemeClr val="dk1">
        <a:lumMod val="75%"/>
        <a:lumOff val="25%"/>
      </a:schemeClr>
    </cs:fontRef>
    <cs:spPr>
      <a:solidFill>
        <a:schemeClr val="lt1">
          <a:lumMod val="95%"/>
          <a:alpha val="39%"/>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31750" cap="flat" cmpd="sng" algn="ctr">
        <a:solidFill>
          <a:schemeClr val="dk1">
            <a:lumMod val="75%"/>
            <a:lumOff val="25%"/>
          </a:schemeClr>
        </a:solidFill>
        <a:round/>
      </a:ln>
    </cs:spPr>
    <cs:defRPr sz="900" kern="1200"/>
  </cs:seriesAxis>
  <cs:seriesLine>
    <cs:lnRef idx="0"/>
    <cs:fillRef idx="0"/>
    <cs:effectRef idx="0"/>
    <cs:fontRef idx="minor">
      <a:schemeClr val="dk1"/>
    </cs:fontRef>
    <cs:spPr>
      <a:ln w="9525">
        <a:solidFill>
          <a:schemeClr val="dk1">
            <a:lumMod val="50%"/>
            <a:lumOff val="50%"/>
          </a:schemeClr>
        </a:solidFill>
        <a:round/>
      </a:ln>
    </cs:spPr>
  </cs:seriesLine>
  <cs:title>
    <cs:lnRef idx="0"/>
    <cs:fillRef idx="0"/>
    <cs:effectRef idx="0"/>
    <cs:fontRef idx="minor">
      <a:schemeClr val="dk1">
        <a:lumMod val="75%"/>
        <a:lumOff val="25%"/>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
        <a:lumOff val="25%"/>
      </a:schemeClr>
    </cs:fontRef>
    <cs:defRPr sz="900" kern="12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purl.oclc.org/ooxml/drawingml/main" id="218">
  <cs:axisTitle>
    <cs:lnRef idx="0"/>
    <cs:fillRef idx="0"/>
    <cs:effectRef idx="0"/>
    <cs:fontRef idx="minor">
      <a:schemeClr val="dk1">
        <a:lumMod val="75%"/>
        <a:lumOff val="25%"/>
      </a:schemeClr>
    </cs:fontRef>
    <cs:defRPr sz="900" b="1" kern="12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
          <a:lumOff val="35%"/>
          <a:alpha val="75%"/>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
  <cs:dataPoint3D>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31750" cap="rnd">
        <a:solidFill>
          <a:schemeClr val="phClr">
            <a:alpha val="85%"/>
          </a:schemeClr>
        </a:solidFill>
        <a:round/>
      </a:ln>
    </cs:spPr>
  </cs:dataPointLine>
  <cs:dataPointMarker>
    <cs:lnRef idx="0"/>
    <cs:fillRef idx="0">
      <cs:styleClr val="auto"/>
    </cs:fillRef>
    <cs:effectRef idx="0"/>
    <cs:fontRef idx="minor">
      <a:schemeClr val="dk1"/>
    </cs:fontRef>
    <cs:spPr>
      <a:solidFill>
        <a:schemeClr val="phClr">
          <a:alpha val="85%"/>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35%"/>
            <a:lumOff val="65%"/>
          </a:schemeClr>
        </a:solidFill>
      </a:ln>
    </cs:spPr>
    <cs:defRPr sz="900" kern="12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dk1"/>
    </cs:fontRef>
    <cs:spPr>
      <a:ln w="9525">
        <a:solidFill>
          <a:schemeClr val="dk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schemeClr>
            </a:gs>
            <a:gs pos="0%">
              <a:schemeClr val="lt1">
                <a:lumMod val="75%"/>
                <a:alpha val="36%"/>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a:solidFill>
          <a:schemeClr val="dk1">
            <a:lumMod val="50%"/>
            <a:lumOff val="50%"/>
          </a:schemeClr>
        </a:solidFill>
      </a:ln>
    </cs:spPr>
  </cs:leaderLine>
  <cs:legend>
    <cs:lnRef idx="0"/>
    <cs:fillRef idx="0"/>
    <cs:effectRef idx="0"/>
    <cs:fontRef idx="minor">
      <a:schemeClr val="dk1">
        <a:lumMod val="75%"/>
        <a:lumOff val="25%"/>
      </a:schemeClr>
    </cs:fontRef>
    <cs:spPr>
      <a:solidFill>
        <a:schemeClr val="lt1">
          <a:lumMod val="95%"/>
          <a:alpha val="39%"/>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31750" cap="flat" cmpd="sng" algn="ctr">
        <a:solidFill>
          <a:schemeClr val="dk1">
            <a:lumMod val="75%"/>
            <a:lumOff val="25%"/>
          </a:schemeClr>
        </a:solidFill>
        <a:round/>
      </a:ln>
    </cs:spPr>
    <cs:defRPr sz="900" kern="1200"/>
  </cs:seriesAxis>
  <cs:seriesLine>
    <cs:lnRef idx="0"/>
    <cs:fillRef idx="0"/>
    <cs:effectRef idx="0"/>
    <cs:fontRef idx="minor">
      <a:schemeClr val="dk1"/>
    </cs:fontRef>
    <cs:spPr>
      <a:ln w="9525">
        <a:solidFill>
          <a:schemeClr val="dk1">
            <a:lumMod val="50%"/>
            <a:lumOff val="50%"/>
          </a:schemeClr>
        </a:solidFill>
        <a:round/>
      </a:ln>
    </cs:spPr>
  </cs:seriesLine>
  <cs:title>
    <cs:lnRef idx="0"/>
    <cs:fillRef idx="0"/>
    <cs:effectRef idx="0"/>
    <cs:fontRef idx="minor">
      <a:schemeClr val="dk1">
        <a:lumMod val="75%"/>
        <a:lumOff val="25%"/>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
        <a:lumOff val="25%"/>
      </a:schemeClr>
    </cs:fontRef>
    <cs:defRPr sz="900" kern="12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purl.oclc.org/ooxml/drawingml/main" id="202">
  <cs:axisTitle>
    <cs:lnRef idx="0"/>
    <cs:fillRef idx="0"/>
    <cs:effectRef idx="0"/>
    <cs:fontRef idx="minor">
      <a:schemeClr val="tx1">
        <a:lumMod val="65%"/>
        <a:lumOff val="35%"/>
      </a:schemeClr>
    </cs:fontRef>
    <cs:defRPr sz="900" kern="1200" cap="all"/>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50%"/>
        <a:lumOff val="5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
        <a:lumOff val="35%"/>
      </a:schemeClr>
    </cs:fontRef>
    <cs:spPr>
      <a:ln w="9525">
        <a:solidFill>
          <a:schemeClr val="tx1">
            <a:lumMod val="15%"/>
            <a:lumOff val="85%"/>
          </a:schemeClr>
        </a:solidFill>
      </a:ln>
    </cs:spPr>
    <cs:defRPr sz="900" kern="1200"/>
  </cs:dataTable>
  <cs:downBar>
    <cs:lnRef idx="0"/>
    <cs:fillRef idx="0"/>
    <cs:effectRef idx="0"/>
    <cs:fontRef idx="minor">
      <a:schemeClr val="dk1"/>
    </cs:fontRef>
    <cs:spPr>
      <a:solidFill>
        <a:schemeClr val="dk1">
          <a:lumMod val="75%"/>
          <a:lumOff val="25%"/>
        </a:schemeClr>
      </a:solidFill>
      <a:ln w="9525">
        <a:solidFill>
          <a:schemeClr val="tx1">
            <a:lumMod val="15%"/>
            <a:lumOff val="85%"/>
          </a:schemeClr>
        </a:solidFill>
      </a:ln>
    </cs:spPr>
  </cs:downBar>
  <cs:dropLine>
    <cs:lnRef idx="0"/>
    <cs:fillRef idx="0"/>
    <cs:effectRef idx="0"/>
    <cs:fontRef idx="minor">
      <a:schemeClr val="dk1"/>
    </cs:fontRef>
    <cs:spPr>
      <a:ln w="9525">
        <a:solidFill>
          <a:schemeClr val="tx1">
            <a:lumMod val="35%"/>
            <a:lumOff val="65%"/>
          </a:schemeClr>
        </a:solidFill>
      </a:ln>
    </cs:spPr>
  </cs:dropLine>
  <cs:errorBar>
    <cs:lnRef idx="0"/>
    <cs:fillRef idx="0"/>
    <cs:effectRef idx="0"/>
    <cs:fontRef idx="minor">
      <a:schemeClr val="dk1"/>
    </cs:fontRef>
    <cs:spPr>
      <a:ln w="9525">
        <a:solidFill>
          <a:schemeClr val="tx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
            <a:lumOff val="85%"/>
          </a:schemeClr>
        </a:solidFill>
        <a:round/>
      </a:ln>
    </cs:spPr>
  </cs:gridlineMajor>
  <cs:gridlineMinor>
    <cs:lnRef idx="0"/>
    <cs:fillRef idx="0"/>
    <cs:effectRef idx="0"/>
    <cs:fontRef idx="minor">
      <a:schemeClr val="dk1"/>
    </cs:fontRef>
    <cs:spPr>
      <a:ln>
        <a:solidFill>
          <a:schemeClr val="tx1">
            <a:lumMod val="5%"/>
            <a:lumOff val="95%"/>
          </a:schemeClr>
        </a:solidFill>
      </a:ln>
    </cs:spPr>
  </cs:gridlineMinor>
  <cs:hiLoLine>
    <cs:lnRef idx="0"/>
    <cs:fillRef idx="0"/>
    <cs:effectRef idx="0"/>
    <cs:fontRef idx="minor">
      <a:schemeClr val="dk1"/>
    </cs:fontRef>
    <cs:spPr>
      <a:ln w="9525">
        <a:solidFill>
          <a:schemeClr val="tx1">
            <a:lumMod val="50%"/>
            <a:lumOff val="50%"/>
          </a:schemeClr>
        </a:solidFill>
      </a:ln>
    </cs:spPr>
  </cs:hiLoLine>
  <cs:leaderLine>
    <cs:lnRef idx="0"/>
    <cs:fillRef idx="0"/>
    <cs:effectRef idx="0"/>
    <cs:fontRef idx="minor">
      <a:schemeClr val="dk1"/>
    </cs:fontRef>
    <cs:spPr>
      <a:ln w="9525">
        <a:solidFill>
          <a:schemeClr val="tx1">
            <a:lumMod val="35%"/>
            <a:lumOff val="65%"/>
          </a:schemeClr>
        </a:solidFill>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dk1"/>
    </cs:fontRef>
    <cs:spPr>
      <a:ln w="9525">
        <a:solidFill>
          <a:schemeClr val="tx1">
            <a:lumMod val="35%"/>
            <a:lumOff val="65%"/>
          </a:schemeClr>
        </a:solidFill>
        <a:round/>
      </a:ln>
    </cs:spPr>
  </cs:seriesLine>
  <cs:title>
    <cs:lnRef idx="0"/>
    <cs:fillRef idx="0"/>
    <cs:effectRef idx="0"/>
    <cs:fontRef idx="minor">
      <a:schemeClr val="tx1">
        <a:lumMod val="65%"/>
        <a:lumOff val="35%"/>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
        <a:lumOff val="35%"/>
      </a:schemeClr>
    </cs:fontRef>
    <cs:defRPr sz="800" kern="1200"/>
  </cs:trendlineLabel>
  <cs:upBar>
    <cs:lnRef idx="0"/>
    <cs:fillRef idx="0"/>
    <cs:effectRef idx="0"/>
    <cs:fontRef idx="minor">
      <a:schemeClr val="dk1"/>
    </cs:fontRef>
    <cs:spPr>
      <a:solidFill>
        <a:schemeClr val="lt1"/>
      </a:solidFill>
      <a:ln w="9525">
        <a:solidFill>
          <a:schemeClr val="tx1">
            <a:lumMod val="65%"/>
            <a:lumOff val="35%"/>
          </a:schemeClr>
        </a:solidFill>
      </a:ln>
    </cs:spPr>
  </cs:upBar>
  <cs:valueAxis>
    <cs:lnRef idx="0"/>
    <cs:fillRef idx="0"/>
    <cs:effectRef idx="0"/>
    <cs:fontRef idx="minor">
      <a:schemeClr val="tx1">
        <a:lumMod val="65%"/>
        <a:lumOff val="35%"/>
      </a:schemeClr>
    </cs:fontRef>
    <cs:spPr>
      <a:ln w="9525" cap="flat" cmpd="sng" algn="ctr">
        <a:solidFill>
          <a:schemeClr val="dk1">
            <a:lumMod val="15%"/>
            <a:lumOff val="85%"/>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purl.oclc.org/ooxml/drawingml/main" id="218">
  <cs:axisTitle>
    <cs:lnRef idx="0"/>
    <cs:fillRef idx="0"/>
    <cs:effectRef idx="0"/>
    <cs:fontRef idx="minor">
      <a:schemeClr val="dk1">
        <a:lumMod val="75%"/>
        <a:lumOff val="25%"/>
      </a:schemeClr>
    </cs:fontRef>
    <cs:defRPr sz="900" b="1" kern="1200"/>
  </cs:axisTitle>
  <cs:categoryAxis>
    <cs:lnRef idx="0"/>
    <cs:fillRef idx="0"/>
    <cs:effectRef idx="0"/>
    <cs:fontRef idx="minor">
      <a:schemeClr val="dk1">
        <a:lumMod val="75%"/>
        <a:lumOff val="25%"/>
      </a:schemeClr>
    </cs:fontRef>
    <cs:spPr>
      <a:ln w="19050" cap="flat" cmpd="sng" algn="ctr">
        <a:solidFill>
          <a:schemeClr val="dk1">
            <a:lumMod val="75%"/>
            <a:lumOff val="25%"/>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
            <a:schemeClr val="lt1"/>
          </a:gs>
          <a:gs pos="100%">
            <a:schemeClr val="lt1">
              <a:lumMod val="75%"/>
            </a:schemeClr>
          </a:gs>
        </a:gsLst>
        <a:path path="circle">
          <a:fillToRect l="50%" t="-80%" r="50%" b="180%"/>
        </a:path>
        <a:tileRect/>
      </a:gradFill>
      <a:ln w="9525" cap="flat" cmpd="sng" algn="ctr">
        <a:solidFill>
          <a:schemeClr val="dk1">
            <a:lumMod val="25%"/>
            <a:lumOff val="75%"/>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
          <a:lumOff val="35%"/>
          <a:alpha val="75%"/>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
  <cs:dataPoint3D>
    <cs:lnRef idx="0"/>
    <cs:fillRef idx="0">
      <cs:styleClr val="auto"/>
    </cs:fillRef>
    <cs:effectRef idx="0"/>
    <cs:fontRef idx="minor">
      <a:schemeClr val="dk1"/>
    </cs:fontRef>
    <cs:spPr>
      <a:solidFill>
        <a:schemeClr val="phClr">
          <a:alpha val="85%"/>
        </a:schemeClr>
      </a:solidFill>
      <a:ln w="9525" cap="flat" cmpd="sng" algn="ctr">
        <a:solidFill>
          <a:schemeClr val="lt1">
            <a:alpha val="50%"/>
          </a:schemeClr>
        </a:solidFill>
        <a:round/>
      </a:ln>
    </cs:spPr>
  </cs:dataPoint3D>
  <cs:dataPointLine>
    <cs:lnRef idx="0">
      <cs:styleClr val="auto"/>
    </cs:lnRef>
    <cs:fillRef idx="0"/>
    <cs:effectRef idx="0"/>
    <cs:fontRef idx="minor">
      <a:schemeClr val="dk1"/>
    </cs:fontRef>
    <cs:spPr>
      <a:ln w="31750" cap="rnd">
        <a:solidFill>
          <a:schemeClr val="phClr">
            <a:alpha val="85%"/>
          </a:schemeClr>
        </a:solidFill>
        <a:round/>
      </a:ln>
    </cs:spPr>
  </cs:dataPointLine>
  <cs:dataPointMarker>
    <cs:lnRef idx="0"/>
    <cs:fillRef idx="0">
      <cs:styleClr val="auto"/>
    </cs:fillRef>
    <cs:effectRef idx="0"/>
    <cs:fontRef idx="minor">
      <a:schemeClr val="dk1"/>
    </cs:fontRef>
    <cs:spPr>
      <a:solidFill>
        <a:schemeClr val="phClr">
          <a:alpha val="85%"/>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
        <a:lumOff val="25%"/>
      </a:schemeClr>
    </cs:fontRef>
    <cs:spPr>
      <a:ln w="9525">
        <a:solidFill>
          <a:schemeClr val="dk1">
            <a:lumMod val="35%"/>
            <a:lumOff val="65%"/>
          </a:schemeClr>
        </a:solidFill>
      </a:ln>
    </cs:spPr>
    <cs:defRPr sz="900" kern="1200"/>
  </cs:dataTable>
  <cs:downBar>
    <cs:lnRef idx="0"/>
    <cs:fillRef idx="0"/>
    <cs:effectRef idx="0"/>
    <cs:fontRef idx="minor">
      <a:schemeClr val="dk1"/>
    </cs:fontRef>
    <cs:spPr>
      <a:solidFill>
        <a:schemeClr val="dk1">
          <a:lumMod val="50%"/>
          <a:lumOff val="50%"/>
        </a:schemeClr>
      </a:solidFill>
      <a:ln w="9525">
        <a:solidFill>
          <a:schemeClr val="dk1">
            <a:lumMod val="65%"/>
            <a:lumOff val="35%"/>
          </a:schemeClr>
        </a:solidFill>
      </a:ln>
    </cs:spPr>
  </cs:downBar>
  <cs:dropLine>
    <cs:lnRef idx="0"/>
    <cs:fillRef idx="0"/>
    <cs:effectRef idx="0"/>
    <cs:fontRef idx="minor">
      <a:schemeClr val="dk1"/>
    </cs:fontRef>
    <cs:spPr>
      <a:ln w="9525">
        <a:solidFill>
          <a:schemeClr val="dk1">
            <a:lumMod val="35%"/>
            <a:lumOff val="65%"/>
          </a:schemeClr>
        </a:solidFill>
        <a:prstDash val="dash"/>
      </a:ln>
    </cs:spPr>
  </cs:dropLine>
  <cs:errorBar>
    <cs:lnRef idx="0"/>
    <cs:fillRef idx="0"/>
    <cs:effectRef idx="0"/>
    <cs:fontRef idx="minor">
      <a:schemeClr val="dk1"/>
    </cs:fontRef>
    <cs:spPr>
      <a:ln w="9525">
        <a:solidFill>
          <a:schemeClr val="dk1">
            <a:lumMod val="65%"/>
            <a:lumOff val="35%"/>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
              <a:schemeClr val="dk1">
                <a:lumMod val="95%"/>
                <a:lumOff val="5%"/>
                <a:alpha val="42%"/>
              </a:schemeClr>
            </a:gs>
            <a:gs pos="0%">
              <a:schemeClr val="lt1">
                <a:lumMod val="75%"/>
                <a:alpha val="36%"/>
              </a:schemeClr>
            </a:gs>
          </a:gsLst>
          <a:lin ang="5400000" scaled="0"/>
        </a:gradFill>
        <a:round/>
      </a:ln>
    </cs:spPr>
  </cs:gridlineMajor>
  <cs:gridlineMinor>
    <cs:lnRef idx="0"/>
    <cs:fillRef idx="0"/>
    <cs:effectRef idx="0"/>
    <cs:fontRef idx="minor">
      <a:schemeClr val="dk1"/>
    </cs:fontRef>
    <cs:spPr>
      <a:ln>
        <a:gradFill>
          <a:gsLst>
            <a:gs pos="100%">
              <a:schemeClr val="dk1">
                <a:lumMod val="95%"/>
                <a:lumOff val="5%"/>
                <a:alpha val="42%"/>
              </a:schemeClr>
            </a:gs>
            <a:gs pos="0%">
              <a:schemeClr val="lt1">
                <a:lumMod val="75%"/>
                <a:alpha val="36%"/>
              </a:schemeClr>
            </a:gs>
          </a:gsLst>
          <a:lin ang="5400000" scaled="0"/>
        </a:gradFill>
      </a:ln>
    </cs:spPr>
  </cs:gridlineMinor>
  <cs:hiLoLine>
    <cs:lnRef idx="0"/>
    <cs:fillRef idx="0"/>
    <cs:effectRef idx="0"/>
    <cs:fontRef idx="minor">
      <a:schemeClr val="dk1"/>
    </cs:fontRef>
    <cs:spPr>
      <a:ln w="9525">
        <a:solidFill>
          <a:schemeClr val="dk1">
            <a:lumMod val="35%"/>
            <a:lumOff val="65%"/>
          </a:schemeClr>
        </a:solidFill>
        <a:prstDash val="dash"/>
      </a:ln>
    </cs:spPr>
  </cs:hiLoLine>
  <cs:leaderLine>
    <cs:lnRef idx="0"/>
    <cs:fillRef idx="0"/>
    <cs:effectRef idx="0"/>
    <cs:fontRef idx="minor">
      <a:schemeClr val="dk1"/>
    </cs:fontRef>
    <cs:spPr>
      <a:ln w="9525">
        <a:solidFill>
          <a:schemeClr val="dk1">
            <a:lumMod val="50%"/>
            <a:lumOff val="50%"/>
          </a:schemeClr>
        </a:solidFill>
      </a:ln>
    </cs:spPr>
  </cs:leaderLine>
  <cs:legend>
    <cs:lnRef idx="0"/>
    <cs:fillRef idx="0"/>
    <cs:effectRef idx="0"/>
    <cs:fontRef idx="minor">
      <a:schemeClr val="dk1">
        <a:lumMod val="75%"/>
        <a:lumOff val="25%"/>
      </a:schemeClr>
    </cs:fontRef>
    <cs:spPr>
      <a:solidFill>
        <a:schemeClr val="lt1">
          <a:lumMod val="95%"/>
          <a:alpha val="39%"/>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
        <a:lumOff val="25%"/>
      </a:schemeClr>
    </cs:fontRef>
    <cs:spPr>
      <a:ln w="31750" cap="flat" cmpd="sng" algn="ctr">
        <a:solidFill>
          <a:schemeClr val="dk1">
            <a:lumMod val="75%"/>
            <a:lumOff val="25%"/>
          </a:schemeClr>
        </a:solidFill>
        <a:round/>
      </a:ln>
    </cs:spPr>
    <cs:defRPr sz="900" kern="1200"/>
  </cs:seriesAxis>
  <cs:seriesLine>
    <cs:lnRef idx="0"/>
    <cs:fillRef idx="0"/>
    <cs:effectRef idx="0"/>
    <cs:fontRef idx="minor">
      <a:schemeClr val="dk1"/>
    </cs:fontRef>
    <cs:spPr>
      <a:ln w="9525">
        <a:solidFill>
          <a:schemeClr val="dk1">
            <a:lumMod val="50%"/>
            <a:lumOff val="50%"/>
          </a:schemeClr>
        </a:solidFill>
        <a:round/>
      </a:ln>
    </cs:spPr>
  </cs:seriesLine>
  <cs:title>
    <cs:lnRef idx="0"/>
    <cs:fillRef idx="0"/>
    <cs:effectRef idx="0"/>
    <cs:fontRef idx="minor">
      <a:schemeClr val="dk1">
        <a:lumMod val="75%"/>
        <a:lumOff val="25%"/>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
        <a:lumOff val="25%"/>
      </a:schemeClr>
    </cs:fontRef>
    <cs:defRPr sz="900" kern="1200"/>
  </cs:trendlineLabel>
  <cs:upBar>
    <cs:lnRef idx="0"/>
    <cs:fillRef idx="0"/>
    <cs:effectRef idx="0"/>
    <cs:fontRef idx="minor">
      <a:schemeClr val="dk1"/>
    </cs:fontRef>
    <cs:spPr>
      <a:solidFill>
        <a:schemeClr val="lt1"/>
      </a:solidFill>
      <a:ln w="9525">
        <a:solidFill>
          <a:schemeClr val="dk1">
            <a:lumMod val="65%"/>
            <a:lumOff val="35%"/>
          </a:schemeClr>
        </a:solidFill>
      </a:ln>
    </cs:spPr>
  </cs:upBar>
  <cs:valueAxis>
    <cs:lnRef idx="0"/>
    <cs:fillRef idx="0"/>
    <cs:effectRef idx="0"/>
    <cs:fontRef idx="minor">
      <a:schemeClr val="dk1">
        <a:lumMod val="75%"/>
        <a:lumOff val="25%"/>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8" Type="http://purl.oclc.org/ooxml/officeDocument/relationships/image" Target="../media/image8.svg"/><Relationship Id="rId13" Type="http://purl.oclc.org/ooxml/officeDocument/relationships/chart" Target="../charts/chart4.xml"/><Relationship Id="rId3" Type="http://purl.oclc.org/ooxml/officeDocument/relationships/image" Target="../media/image3.png"/><Relationship Id="rId7" Type="http://purl.oclc.org/ooxml/officeDocument/relationships/image" Target="../media/image7.png"/><Relationship Id="rId12" Type="http://purl.oclc.org/ooxml/officeDocument/relationships/image" Target="../media/image12.svg"/><Relationship Id="rId17" Type="http://purl.oclc.org/ooxml/officeDocument/relationships/image" Target="../media/image14.svg"/><Relationship Id="rId2" Type="http://purl.oclc.org/ooxml/officeDocument/relationships/image" Target="../media/image2.svg"/><Relationship Id="rId16" Type="http://purl.oclc.org/ooxml/officeDocument/relationships/image" Target="../media/image13.png"/><Relationship Id="rId1" Type="http://purl.oclc.org/ooxml/officeDocument/relationships/image" Target="../media/image1.png"/><Relationship Id="rId6" Type="http://purl.oclc.org/ooxml/officeDocument/relationships/image" Target="../media/image6.svg"/><Relationship Id="rId11" Type="http://purl.oclc.org/ooxml/officeDocument/relationships/image" Target="../media/image11.png"/><Relationship Id="rId5" Type="http://purl.oclc.org/ooxml/officeDocument/relationships/image" Target="../media/image5.png"/><Relationship Id="rId15" Type="http://purl.oclc.org/ooxml/officeDocument/relationships/chart" Target="../charts/chart6.xml"/><Relationship Id="rId10" Type="http://purl.oclc.org/ooxml/officeDocument/relationships/image" Target="../media/image10.svg"/><Relationship Id="rId4" Type="http://purl.oclc.org/ooxml/officeDocument/relationships/image" Target="../media/image4.svg"/><Relationship Id="rId9" Type="http://purl.oclc.org/ooxml/officeDocument/relationships/image" Target="../media/image9.png"/><Relationship Id="rId14" Type="http://purl.oclc.org/ooxml/officeDocument/relationships/chart" Target="../charts/chart5.xml"/></Relationships>
</file>

<file path=xl/drawings/drawing1.xml><?xml version="1.0" encoding="utf-8"?>
<xdr:wsDr xmlns:xdr="http://purl.oclc.org/ooxml/drawingml/spreadsheetDrawing" xmlns:a="http://purl.oclc.org/ooxml/drawingml/main">
  <xdr:twoCellAnchor>
    <xdr:from>
      <xdr:col>4</xdr:col>
      <xdr:colOff>193675</xdr:colOff>
      <xdr:row>2</xdr:row>
      <xdr:rowOff>82550</xdr:rowOff>
    </xdr:from>
    <xdr:to>
      <xdr:col>11</xdr:col>
      <xdr:colOff>498475</xdr:colOff>
      <xdr:row>17</xdr:row>
      <xdr:rowOff>63500</xdr:rowOff>
    </xdr:to>
    <xdr:graphicFrame macro="">
      <xdr:nvGraphicFramePr>
        <xdr:cNvPr id="2" name="Chart 1">
          <a:extLst>
            <a:ext uri="{FF2B5EF4-FFF2-40B4-BE49-F238E27FC236}">
              <a16:creationId xmlns:a16="http://schemas.microsoft.com/office/drawing/2014/main" id="{74FBE4DA-194A-509D-5211-0B6D1E01ABE2}"/>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1</xdr:col>
      <xdr:colOff>165100</xdr:colOff>
      <xdr:row>0</xdr:row>
      <xdr:rowOff>127000</xdr:rowOff>
    </xdr:from>
    <xdr:to>
      <xdr:col>3</xdr:col>
      <xdr:colOff>317500</xdr:colOff>
      <xdr:row>3</xdr:row>
      <xdr:rowOff>152400</xdr:rowOff>
    </xdr:to>
    <mc:AlternateContent xmlns:mc="http://schemas.openxmlformats.org/markup-compatibility/2006" xmlns:a14="http://schemas.microsoft.com/office/drawing/2010/main">
      <mc:Choice Requires="a14">
        <xdr:graphicFrame macro="">
          <xdr:nvGraphicFramePr>
            <xdr:cNvPr id="22" name="Employee ID">
              <a:extLst>
                <a:ext uri="{FF2B5EF4-FFF2-40B4-BE49-F238E27FC236}">
                  <a16:creationId xmlns:a16="http://schemas.microsoft.com/office/drawing/2014/main" id="{9C3A7355-4A01-CE9E-FA5C-CA11FFD9164E}"/>
                </a:ext>
              </a:extLst>
            </xdr:cNvPr>
            <xdr:cNvGraphicFramePr/>
          </xdr:nvGraphicFramePr>
          <xdr:xfrm>
            <a:off x="0" y="0"/>
            <a:ext cx="0" cy="0"/>
          </xdr:xfrm>
          <a:graphic>
            <a:graphicData uri="http://schemas.microsoft.com/office/drawing/2010/slicer">
              <sle:slicer xmlns:sle="http://schemas.microsoft.com/office/drawing/2010/slicer" name="Employee ID"/>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270000" y="127000"/>
              <a:ext cx="1828800" cy="5778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628650</xdr:colOff>
      <xdr:row>3</xdr:row>
      <xdr:rowOff>38100</xdr:rowOff>
    </xdr:from>
    <xdr:to>
      <xdr:col>4</xdr:col>
      <xdr:colOff>171450</xdr:colOff>
      <xdr:row>6</xdr:row>
      <xdr:rowOff>88900</xdr:rowOff>
    </xdr:to>
    <mc:AlternateContent xmlns:mc="http://schemas.openxmlformats.org/markup-compatibility/2006" xmlns:a14="http://schemas.microsoft.com/office/drawing/2010/main">
      <mc:Choice Requires="a14">
        <xdr:graphicFrame macro="">
          <xdr:nvGraphicFramePr>
            <xdr:cNvPr id="23" name="Shift scheduling">
              <a:extLst>
                <a:ext uri="{FF2B5EF4-FFF2-40B4-BE49-F238E27FC236}">
                  <a16:creationId xmlns:a16="http://schemas.microsoft.com/office/drawing/2014/main" id="{E84ABA2D-2E87-CF04-923E-BA1A0C08786A}"/>
                </a:ext>
              </a:extLst>
            </xdr:cNvPr>
            <xdr:cNvGraphicFramePr/>
          </xdr:nvGraphicFramePr>
          <xdr:xfrm>
            <a:off x="0" y="0"/>
            <a:ext cx="0" cy="0"/>
          </xdr:xfrm>
          <a:graphic>
            <a:graphicData uri="http://schemas.microsoft.com/office/drawing/2010/slicer">
              <sle:slicer xmlns:sle="http://schemas.microsoft.com/office/drawing/2010/slicer" name="Shift scheduling"/>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733550" y="590550"/>
              <a:ext cx="1828800" cy="603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5</xdr:row>
      <xdr:rowOff>146050</xdr:rowOff>
    </xdr:from>
    <xdr:to>
      <xdr:col>5</xdr:col>
      <xdr:colOff>38100</xdr:colOff>
      <xdr:row>9</xdr:row>
      <xdr:rowOff>38100</xdr:rowOff>
    </xdr:to>
    <mc:AlternateContent xmlns:mc="http://schemas.openxmlformats.org/markup-compatibility/2006" xmlns:a14="http://schemas.microsoft.com/office/drawing/2010/main">
      <mc:Choice Requires="a14">
        <xdr:graphicFrame macro="">
          <xdr:nvGraphicFramePr>
            <xdr:cNvPr id="24" name="Staff role">
              <a:extLst>
                <a:ext uri="{FF2B5EF4-FFF2-40B4-BE49-F238E27FC236}">
                  <a16:creationId xmlns:a16="http://schemas.microsoft.com/office/drawing/2014/main" id="{ACAA825B-6BAB-ADBF-E7B4-B285C7B7C067}"/>
                </a:ext>
              </a:extLst>
            </xdr:cNvPr>
            <xdr:cNvGraphicFramePr/>
          </xdr:nvGraphicFramePr>
          <xdr:xfrm>
            <a:off x="0" y="0"/>
            <a:ext cx="0" cy="0"/>
          </xdr:xfrm>
          <a:graphic>
            <a:graphicData uri="http://schemas.microsoft.com/office/drawing/2010/slicer">
              <sle:slicer xmlns:sle="http://schemas.microsoft.com/office/drawing/2010/slicer" name="Staff role"/>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209800" y="1066800"/>
              <a:ext cx="1828800" cy="628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8</xdr:row>
      <xdr:rowOff>69850</xdr:rowOff>
    </xdr:from>
    <xdr:to>
      <xdr:col>5</xdr:col>
      <xdr:colOff>514350</xdr:colOff>
      <xdr:row>12</xdr:row>
      <xdr:rowOff>25400</xdr:rowOff>
    </xdr:to>
    <mc:AlternateContent xmlns:mc="http://schemas.openxmlformats.org/markup-compatibility/2006" xmlns:a14="http://schemas.microsoft.com/office/drawing/2010/main">
      <mc:Choice Requires="a14">
        <xdr:graphicFrame macro="">
          <xdr:nvGraphicFramePr>
            <xdr:cNvPr id="25" name="Overtime ">
              <a:extLst>
                <a:ext uri="{FF2B5EF4-FFF2-40B4-BE49-F238E27FC236}">
                  <a16:creationId xmlns:a16="http://schemas.microsoft.com/office/drawing/2014/main" id="{1DB53496-C1E1-6F5E-A2B7-15A68E881327}"/>
                </a:ext>
              </a:extLst>
            </xdr:cNvPr>
            <xdr:cNvGraphicFramePr/>
          </xdr:nvGraphicFramePr>
          <xdr:xfrm>
            <a:off x="0" y="0"/>
            <a:ext cx="0" cy="0"/>
          </xdr:xfrm>
          <a:graphic>
            <a:graphicData uri="http://schemas.microsoft.com/office/drawing/2010/slicer">
              <sle:slicer xmlns:sle="http://schemas.microsoft.com/office/drawing/2010/slicer" name="Overtime "/>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686050" y="1543050"/>
              <a:ext cx="1828800" cy="692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10</xdr:row>
      <xdr:rowOff>177800</xdr:rowOff>
    </xdr:from>
    <xdr:to>
      <xdr:col>6</xdr:col>
      <xdr:colOff>381000</xdr:colOff>
      <xdr:row>14</xdr:row>
      <xdr:rowOff>139700</xdr:rowOff>
    </xdr:to>
    <mc:AlternateContent xmlns:mc="http://schemas.openxmlformats.org/markup-compatibility/2006" xmlns:a14="http://schemas.microsoft.com/office/drawing/2010/main">
      <mc:Choice Requires="a14">
        <xdr:graphicFrame macro="">
          <xdr:nvGraphicFramePr>
            <xdr:cNvPr id="26" name="Overtime pay">
              <a:extLst>
                <a:ext uri="{FF2B5EF4-FFF2-40B4-BE49-F238E27FC236}">
                  <a16:creationId xmlns:a16="http://schemas.microsoft.com/office/drawing/2014/main" id="{0E5A3867-37BA-B895-BB1A-4A4EBA740502}"/>
                </a:ext>
              </a:extLst>
            </xdr:cNvPr>
            <xdr:cNvGraphicFramePr/>
          </xdr:nvGraphicFramePr>
          <xdr:xfrm>
            <a:off x="0" y="0"/>
            <a:ext cx="0" cy="0"/>
          </xdr:xfrm>
          <a:graphic>
            <a:graphicData uri="http://schemas.microsoft.com/office/drawing/2010/slicer">
              <sle:slicer xmlns:sle="http://schemas.microsoft.com/office/drawing/2010/slicer" name="Overtime pay"/>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3162300" y="2019300"/>
              <a:ext cx="1828800" cy="698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247650</xdr:colOff>
      <xdr:row>13</xdr:row>
      <xdr:rowOff>101600</xdr:rowOff>
    </xdr:from>
    <xdr:to>
      <xdr:col>7</xdr:col>
      <xdr:colOff>247650</xdr:colOff>
      <xdr:row>17</xdr:row>
      <xdr:rowOff>50800</xdr:rowOff>
    </xdr:to>
    <mc:AlternateContent xmlns:mc="http://schemas.openxmlformats.org/markup-compatibility/2006" xmlns:a14="http://schemas.microsoft.com/office/drawing/2010/main">
      <mc:Choice Requires="a14">
        <xdr:graphicFrame macro="">
          <xdr:nvGraphicFramePr>
            <xdr:cNvPr id="27" name="Monthly payroll">
              <a:extLst>
                <a:ext uri="{FF2B5EF4-FFF2-40B4-BE49-F238E27FC236}">
                  <a16:creationId xmlns:a16="http://schemas.microsoft.com/office/drawing/2014/main" id="{52EE5F62-38F2-BBF1-FF88-A0604D413639}"/>
                </a:ext>
              </a:extLst>
            </xdr:cNvPr>
            <xdr:cNvGraphicFramePr/>
          </xdr:nvGraphicFramePr>
          <xdr:xfrm>
            <a:off x="0" y="0"/>
            <a:ext cx="0" cy="0"/>
          </xdr:xfrm>
          <a:graphic>
            <a:graphicData uri="http://schemas.microsoft.com/office/drawing/2010/slicer">
              <sle:slicer xmlns:sle="http://schemas.microsoft.com/office/drawing/2010/slicer" name="Monthly payroll"/>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3638550" y="2495550"/>
              <a:ext cx="1828800" cy="685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2</xdr:col>
      <xdr:colOff>663575</xdr:colOff>
      <xdr:row>2</xdr:row>
      <xdr:rowOff>57150</xdr:rowOff>
    </xdr:from>
    <xdr:to>
      <xdr:col>10</xdr:col>
      <xdr:colOff>533401</xdr:colOff>
      <xdr:row>17</xdr:row>
      <xdr:rowOff>38100</xdr:rowOff>
    </xdr:to>
    <xdr:graphicFrame macro="">
      <xdr:nvGraphicFramePr>
        <xdr:cNvPr id="2" name="Chart 1">
          <a:extLst>
            <a:ext uri="{FF2B5EF4-FFF2-40B4-BE49-F238E27FC236}">
              <a16:creationId xmlns:a16="http://schemas.microsoft.com/office/drawing/2014/main" id="{284741B2-8FD5-84CC-DE30-553DBB4D9B1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2</xdr:col>
      <xdr:colOff>174625</xdr:colOff>
      <xdr:row>2</xdr:row>
      <xdr:rowOff>177800</xdr:rowOff>
    </xdr:from>
    <xdr:to>
      <xdr:col>9</xdr:col>
      <xdr:colOff>263525</xdr:colOff>
      <xdr:row>17</xdr:row>
      <xdr:rowOff>158750</xdr:rowOff>
    </xdr:to>
    <xdr:graphicFrame macro="">
      <xdr:nvGraphicFramePr>
        <xdr:cNvPr id="2" name="Chart 1">
          <a:extLst>
            <a:ext uri="{FF2B5EF4-FFF2-40B4-BE49-F238E27FC236}">
              <a16:creationId xmlns:a16="http://schemas.microsoft.com/office/drawing/2014/main" id="{8E5A69A2-FCBA-0456-6292-343D8A43D1F4}"/>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4.xml><?xml version="1.0" encoding="utf-8"?>
<xdr:wsDr xmlns:xdr="http://purl.oclc.org/ooxml/drawingml/spreadsheetDrawing" xmlns:a="http://purl.oclc.org/ooxml/drawingml/main">
  <xdr:twoCellAnchor editAs="oneCell">
    <xdr:from>
      <xdr:col>0</xdr:col>
      <xdr:colOff>47625</xdr:colOff>
      <xdr:row>0</xdr:row>
      <xdr:rowOff>79375</xdr:rowOff>
    </xdr:from>
    <xdr:to>
      <xdr:col>1</xdr:col>
      <xdr:colOff>358775</xdr:colOff>
      <xdr:row>5</xdr:row>
      <xdr:rowOff>41275</xdr:rowOff>
    </xdr:to>
    <xdr:pic>
      <xdr:nvPicPr>
        <xdr:cNvPr id="8" name="Graphic 7" descr="Address Book with solid fill">
          <a:extLst>
            <a:ext uri="{FF2B5EF4-FFF2-40B4-BE49-F238E27FC236}">
              <a16:creationId xmlns:a16="http://schemas.microsoft.com/office/drawing/2014/main" id="{ACDE8C82-837F-92E8-4A9E-22AAF79CBB25}"/>
            </a:ext>
          </a:extLst>
        </xdr:cNvPr>
        <xdr:cNvPicPr>
          <a:picLocks noChangeAspect="1"/>
        </xdr:cNvPicPr>
      </xdr:nvPicPr>
      <xdr:blipFill>
        <a:blip xmlns:r="http://purl.oclc.org/ooxml/officeDocument/relationships" r:embed="rId1">
          <a:extLst>
            <a:ext uri="{96DAC541-7B7A-43D3-8B79-37D633B846F1}">
              <asvg:svgBlip xmlns:asvg="http://schemas.microsoft.com/office/drawing/2016/SVG/main" r:embed="rId2"/>
            </a:ext>
          </a:extLst>
        </a:blip>
        <a:stretch>
          <a:fillRect/>
        </a:stretch>
      </xdr:blipFill>
      <xdr:spPr>
        <a:xfrm>
          <a:off x="47625" y="79375"/>
          <a:ext cx="914400" cy="914400"/>
        </a:xfrm>
        <a:prstGeom prst="rect">
          <a:avLst/>
        </a:prstGeom>
      </xdr:spPr>
    </xdr:pic>
    <xdr:clientData/>
  </xdr:twoCellAnchor>
  <xdr:twoCellAnchor>
    <xdr:from>
      <xdr:col>6</xdr:col>
      <xdr:colOff>18316</xdr:colOff>
      <xdr:row>14</xdr:row>
      <xdr:rowOff>175111</xdr:rowOff>
    </xdr:from>
    <xdr:to>
      <xdr:col>9</xdr:col>
      <xdr:colOff>867018</xdr:colOff>
      <xdr:row>18</xdr:row>
      <xdr:rowOff>42740</xdr:rowOff>
    </xdr:to>
    <xdr:sp macro="" textlink="">
      <xdr:nvSpPr>
        <xdr:cNvPr id="12" name="TextBox 11">
          <a:extLst>
            <a:ext uri="{FF2B5EF4-FFF2-40B4-BE49-F238E27FC236}">
              <a16:creationId xmlns:a16="http://schemas.microsoft.com/office/drawing/2014/main" id="{6B5C74A9-4E17-D067-B286-103B135C46C6}"/>
            </a:ext>
          </a:extLst>
        </xdr:cNvPr>
        <xdr:cNvSpPr txBox="1"/>
      </xdr:nvSpPr>
      <xdr:spPr>
        <a:xfrm>
          <a:off x="3681778" y="3179149"/>
          <a:ext cx="4817452" cy="600322"/>
        </a:xfrm>
        <a:prstGeom prst="rect">
          <a:avLst/>
        </a:prstGeom>
        <a:solidFill>
          <a:schemeClr val="accent3">
            <a:lumMod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chemeClr val="bg2"/>
              </a:solidFill>
            </a:rPr>
            <a:t>EMPLOYEE</a:t>
          </a:r>
          <a:r>
            <a:rPr lang="en-GB" sz="2400" b="1" baseline="0%">
              <a:solidFill>
                <a:schemeClr val="bg2"/>
              </a:solidFill>
            </a:rPr>
            <a:t> BY ROLE</a:t>
          </a:r>
          <a:endParaRPr lang="en-GB" sz="2400" b="1">
            <a:solidFill>
              <a:schemeClr val="bg2"/>
            </a:solidFill>
          </a:endParaRPr>
        </a:p>
      </xdr:txBody>
    </xdr:sp>
    <xdr:clientData/>
  </xdr:twoCellAnchor>
  <xdr:twoCellAnchor>
    <xdr:from>
      <xdr:col>6</xdr:col>
      <xdr:colOff>1070737</xdr:colOff>
      <xdr:row>5</xdr:row>
      <xdr:rowOff>202197</xdr:rowOff>
    </xdr:from>
    <xdr:to>
      <xdr:col>8</xdr:col>
      <xdr:colOff>578835</xdr:colOff>
      <xdr:row>12</xdr:row>
      <xdr:rowOff>163938</xdr:rowOff>
    </xdr:to>
    <xdr:sp macro="" textlink="H8">
      <xdr:nvSpPr>
        <xdr:cNvPr id="21" name="Rectangle: Rounded Corners 20">
          <a:extLst>
            <a:ext uri="{FF2B5EF4-FFF2-40B4-BE49-F238E27FC236}">
              <a16:creationId xmlns:a16="http://schemas.microsoft.com/office/drawing/2014/main" id="{4F00C5E8-00F6-4820-818F-0D736714374B}"/>
            </a:ext>
          </a:extLst>
        </xdr:cNvPr>
        <xdr:cNvSpPr/>
      </xdr:nvSpPr>
      <xdr:spPr>
        <a:xfrm>
          <a:off x="4731325" y="1136021"/>
          <a:ext cx="1836432" cy="1717329"/>
        </a:xfrm>
        <a:prstGeom prst="roundRect">
          <a:avLst/>
        </a:prstGeom>
        <a:solidFill>
          <a:schemeClr val="accent6">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A45098A4-46E6-4E37-95BE-E50DB5056619}" type="TxLink">
            <a:rPr lang="en-US" sz="2800" b="1" i="0" u="none" strike="noStrike">
              <a:solidFill>
                <a:srgbClr val="000000"/>
              </a:solidFill>
              <a:latin typeface="Aptos Narrow"/>
            </a:rPr>
            <a:pPr algn="ctr"/>
            <a:t>16</a:t>
          </a:fld>
          <a:endParaRPr lang="en-GB" sz="1100"/>
        </a:p>
      </xdr:txBody>
    </xdr:sp>
    <xdr:clientData/>
  </xdr:twoCellAnchor>
  <xdr:twoCellAnchor>
    <xdr:from>
      <xdr:col>7</xdr:col>
      <xdr:colOff>295141</xdr:colOff>
      <xdr:row>5</xdr:row>
      <xdr:rowOff>295140</xdr:rowOff>
    </xdr:from>
    <xdr:to>
      <xdr:col>8</xdr:col>
      <xdr:colOff>490682</xdr:colOff>
      <xdr:row>7</xdr:row>
      <xdr:rowOff>230909</xdr:rowOff>
    </xdr:to>
    <xdr:sp macro="" textlink="">
      <xdr:nvSpPr>
        <xdr:cNvPr id="23" name="TextBox 22">
          <a:extLst>
            <a:ext uri="{FF2B5EF4-FFF2-40B4-BE49-F238E27FC236}">
              <a16:creationId xmlns:a16="http://schemas.microsoft.com/office/drawing/2014/main" id="{960B8166-A5B9-4880-811C-3EB3C21B2441}"/>
            </a:ext>
          </a:extLst>
        </xdr:cNvPr>
        <xdr:cNvSpPr txBox="1"/>
      </xdr:nvSpPr>
      <xdr:spPr>
        <a:xfrm>
          <a:off x="5105747" y="1209155"/>
          <a:ext cx="1359708" cy="590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Total</a:t>
          </a:r>
          <a:r>
            <a:rPr lang="en-GB" sz="1400" b="1" baseline="0%"/>
            <a:t> Employees</a:t>
          </a:r>
          <a:endParaRPr lang="en-GB" sz="1400" b="1"/>
        </a:p>
      </xdr:txBody>
    </xdr:sp>
    <xdr:clientData/>
  </xdr:twoCellAnchor>
  <xdr:twoCellAnchor editAs="oneCell">
    <xdr:from>
      <xdr:col>6</xdr:col>
      <xdr:colOff>1037465</xdr:colOff>
      <xdr:row>5</xdr:row>
      <xdr:rowOff>321972</xdr:rowOff>
    </xdr:from>
    <xdr:to>
      <xdr:col>7</xdr:col>
      <xdr:colOff>348802</xdr:colOff>
      <xdr:row>7</xdr:row>
      <xdr:rowOff>143099</xdr:rowOff>
    </xdr:to>
    <xdr:pic>
      <xdr:nvPicPr>
        <xdr:cNvPr id="24" name="Graphic 23" descr="Call center with solid fill">
          <a:extLst>
            <a:ext uri="{FF2B5EF4-FFF2-40B4-BE49-F238E27FC236}">
              <a16:creationId xmlns:a16="http://schemas.microsoft.com/office/drawing/2014/main" id="{B7960797-E12A-4023-B540-0E9A38E35BAA}"/>
            </a:ext>
          </a:extLst>
        </xdr:cNvPr>
        <xdr:cNvPicPr>
          <a:picLocks noChangeAspect="1"/>
        </xdr:cNvPicPr>
      </xdr:nvPicPr>
      <xdr:blipFill>
        <a:blip xmlns:r="http://purl.oclc.org/ooxml/officeDocument/relationships" r:embed="rId3">
          <a:extLst>
            <a:ext uri="{96DAC541-7B7A-43D3-8B79-37D633B846F1}">
              <asvg:svgBlip xmlns:asvg="http://schemas.microsoft.com/office/drawing/2016/SVG/main" r:embed="rId4"/>
            </a:ext>
          </a:extLst>
        </a:blip>
        <a:stretch>
          <a:fillRect/>
        </a:stretch>
      </xdr:blipFill>
      <xdr:spPr>
        <a:xfrm>
          <a:off x="4686479" y="1261057"/>
          <a:ext cx="482957" cy="482957"/>
        </a:xfrm>
        <a:prstGeom prst="rect">
          <a:avLst/>
        </a:prstGeom>
      </xdr:spPr>
    </xdr:pic>
    <xdr:clientData/>
  </xdr:twoCellAnchor>
  <xdr:twoCellAnchor>
    <xdr:from>
      <xdr:col>6</xdr:col>
      <xdr:colOff>1064296</xdr:colOff>
      <xdr:row>10</xdr:row>
      <xdr:rowOff>178875</xdr:rowOff>
    </xdr:from>
    <xdr:to>
      <xdr:col>8</xdr:col>
      <xdr:colOff>500845</xdr:colOff>
      <xdr:row>12</xdr:row>
      <xdr:rowOff>178873</xdr:rowOff>
    </xdr:to>
    <xdr:sp macro="" textlink="">
      <xdr:nvSpPr>
        <xdr:cNvPr id="27" name="TextBox 26">
          <a:extLst>
            <a:ext uri="{FF2B5EF4-FFF2-40B4-BE49-F238E27FC236}">
              <a16:creationId xmlns:a16="http://schemas.microsoft.com/office/drawing/2014/main" id="{37A1AC61-D1E6-4C81-A1D7-DB8578BB3307}"/>
            </a:ext>
          </a:extLst>
        </xdr:cNvPr>
        <xdr:cNvSpPr txBox="1"/>
      </xdr:nvSpPr>
      <xdr:spPr>
        <a:xfrm>
          <a:off x="4713310" y="2486340"/>
          <a:ext cx="1770845" cy="375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 number of employees</a:t>
          </a:r>
        </a:p>
      </xdr:txBody>
    </xdr:sp>
    <xdr:clientData/>
  </xdr:twoCellAnchor>
  <xdr:twoCellAnchor>
    <xdr:from>
      <xdr:col>8</xdr:col>
      <xdr:colOff>1434494</xdr:colOff>
      <xdr:row>5</xdr:row>
      <xdr:rowOff>253363</xdr:rowOff>
    </xdr:from>
    <xdr:to>
      <xdr:col>10</xdr:col>
      <xdr:colOff>84002</xdr:colOff>
      <xdr:row>12</xdr:row>
      <xdr:rowOff>174314</xdr:rowOff>
    </xdr:to>
    <xdr:sp macro="" textlink="J8">
      <xdr:nvSpPr>
        <xdr:cNvPr id="2" name="Rectangle: Rounded Corners 1">
          <a:extLst>
            <a:ext uri="{FF2B5EF4-FFF2-40B4-BE49-F238E27FC236}">
              <a16:creationId xmlns:a16="http://schemas.microsoft.com/office/drawing/2014/main" id="{8FBF589B-0513-462D-9C2C-E86549197064}"/>
            </a:ext>
          </a:extLst>
        </xdr:cNvPr>
        <xdr:cNvSpPr/>
      </xdr:nvSpPr>
      <xdr:spPr>
        <a:xfrm>
          <a:off x="7423416" y="1187187"/>
          <a:ext cx="1874311" cy="1676539"/>
        </a:xfrm>
        <a:prstGeom prst="roundRect">
          <a:avLst/>
        </a:prstGeom>
        <a:solidFill>
          <a:schemeClr val="accent6">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BF7F0506-AD66-457A-A8B2-D3805658A5FE}" type="TxLink">
            <a:rPr lang="en-US" sz="2400" b="1" i="0" u="none" strike="noStrike">
              <a:solidFill>
                <a:schemeClr val="tx1"/>
              </a:solidFill>
              <a:latin typeface="Aptos Narrow"/>
            </a:rPr>
            <a:pPr algn="ctr"/>
            <a:t>£33,643.89</a:t>
          </a:fld>
          <a:endParaRPr lang="en-GB" sz="1050">
            <a:solidFill>
              <a:schemeClr val="tx1"/>
            </a:solidFill>
          </a:endParaRPr>
        </a:p>
      </xdr:txBody>
    </xdr:sp>
    <xdr:clientData/>
  </xdr:twoCellAnchor>
  <xdr:twoCellAnchor>
    <xdr:from>
      <xdr:col>9</xdr:col>
      <xdr:colOff>286198</xdr:colOff>
      <xdr:row>6</xdr:row>
      <xdr:rowOff>28864</xdr:rowOff>
    </xdr:from>
    <xdr:to>
      <xdr:col>9</xdr:col>
      <xdr:colOff>1511479</xdr:colOff>
      <xdr:row>8</xdr:row>
      <xdr:rowOff>48106</xdr:rowOff>
    </xdr:to>
    <xdr:sp macro="" textlink="">
      <xdr:nvSpPr>
        <xdr:cNvPr id="5" name="TextBox 4">
          <a:extLst>
            <a:ext uri="{FF2B5EF4-FFF2-40B4-BE49-F238E27FC236}">
              <a16:creationId xmlns:a16="http://schemas.microsoft.com/office/drawing/2014/main" id="{EA55324F-1942-4C48-A64C-9DFA70C03A98}"/>
            </a:ext>
          </a:extLst>
        </xdr:cNvPr>
        <xdr:cNvSpPr txBox="1"/>
      </xdr:nvSpPr>
      <xdr:spPr>
        <a:xfrm>
          <a:off x="7896577" y="1270000"/>
          <a:ext cx="1225281" cy="67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Total</a:t>
          </a:r>
          <a:r>
            <a:rPr lang="en-GB" sz="1400" b="1" baseline="0%"/>
            <a:t> monthly payroll</a:t>
          </a:r>
          <a:endParaRPr lang="en-GB" sz="1400" b="1"/>
        </a:p>
      </xdr:txBody>
    </xdr:sp>
    <xdr:clientData/>
  </xdr:twoCellAnchor>
  <xdr:twoCellAnchor>
    <xdr:from>
      <xdr:col>8</xdr:col>
      <xdr:colOff>1400841</xdr:colOff>
      <xdr:row>11</xdr:row>
      <xdr:rowOff>10435</xdr:rowOff>
    </xdr:from>
    <xdr:to>
      <xdr:col>10</xdr:col>
      <xdr:colOff>139786</xdr:colOff>
      <xdr:row>14</xdr:row>
      <xdr:rowOff>109146</xdr:rowOff>
    </xdr:to>
    <xdr:sp macro="" textlink="">
      <xdr:nvSpPr>
        <xdr:cNvPr id="6" name="TextBox 5">
          <a:extLst>
            <a:ext uri="{FF2B5EF4-FFF2-40B4-BE49-F238E27FC236}">
              <a16:creationId xmlns:a16="http://schemas.microsoft.com/office/drawing/2014/main" id="{5CFD4CA3-A203-40C8-8374-05FDC2F06B5B}"/>
            </a:ext>
          </a:extLst>
        </xdr:cNvPr>
        <xdr:cNvSpPr txBox="1"/>
      </xdr:nvSpPr>
      <xdr:spPr>
        <a:xfrm>
          <a:off x="7409822" y="2503398"/>
          <a:ext cx="1949223" cy="663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Total payroll for all employees</a:t>
          </a:r>
        </a:p>
      </xdr:txBody>
    </xdr:sp>
    <xdr:clientData/>
  </xdr:twoCellAnchor>
  <xdr:twoCellAnchor editAs="oneCell">
    <xdr:from>
      <xdr:col>8</xdr:col>
      <xdr:colOff>1430986</xdr:colOff>
      <xdr:row>5</xdr:row>
      <xdr:rowOff>304083</xdr:rowOff>
    </xdr:from>
    <xdr:to>
      <xdr:col>9</xdr:col>
      <xdr:colOff>366690</xdr:colOff>
      <xdr:row>7</xdr:row>
      <xdr:rowOff>160986</xdr:rowOff>
    </xdr:to>
    <xdr:pic>
      <xdr:nvPicPr>
        <xdr:cNvPr id="14" name="Graphic 13" descr="Bank with solid fill">
          <a:extLst>
            <a:ext uri="{FF2B5EF4-FFF2-40B4-BE49-F238E27FC236}">
              <a16:creationId xmlns:a16="http://schemas.microsoft.com/office/drawing/2014/main" id="{00C61F3C-E1F8-CC3C-6EAF-E01F4E498477}"/>
            </a:ext>
          </a:extLst>
        </xdr:cNvPr>
        <xdr:cNvPicPr>
          <a:picLocks noChangeAspect="1"/>
        </xdr:cNvPicPr>
      </xdr:nvPicPr>
      <xdr:blipFill>
        <a:blip xmlns:r="http://purl.oclc.org/ooxml/officeDocument/relationships" r:embed="rId5">
          <a:extLst>
            <a:ext uri="{96DAC541-7B7A-43D3-8B79-37D633B846F1}">
              <asvg:svgBlip xmlns:asvg="http://schemas.microsoft.com/office/drawing/2016/SVG/main" r:embed="rId6"/>
            </a:ext>
          </a:extLst>
        </a:blip>
        <a:stretch>
          <a:fillRect/>
        </a:stretch>
      </xdr:blipFill>
      <xdr:spPr>
        <a:xfrm>
          <a:off x="7414296" y="1243168"/>
          <a:ext cx="572394" cy="518733"/>
        </a:xfrm>
        <a:prstGeom prst="rect">
          <a:avLst/>
        </a:prstGeom>
      </xdr:spPr>
    </xdr:pic>
    <xdr:clientData/>
  </xdr:twoCellAnchor>
  <xdr:twoCellAnchor>
    <xdr:from>
      <xdr:col>10</xdr:col>
      <xdr:colOff>1201594</xdr:colOff>
      <xdr:row>5</xdr:row>
      <xdr:rowOff>277571</xdr:rowOff>
    </xdr:from>
    <xdr:to>
      <xdr:col>11</xdr:col>
      <xdr:colOff>1172060</xdr:colOff>
      <xdr:row>12</xdr:row>
      <xdr:rowOff>181797</xdr:rowOff>
    </xdr:to>
    <xdr:sp macro="" textlink="L8">
      <xdr:nvSpPr>
        <xdr:cNvPr id="18" name="Rectangle: Rounded Corners 17">
          <a:extLst>
            <a:ext uri="{FF2B5EF4-FFF2-40B4-BE49-F238E27FC236}">
              <a16:creationId xmlns:a16="http://schemas.microsoft.com/office/drawing/2014/main" id="{2B885E6F-FE42-471E-BB7B-F90C5222117F}"/>
            </a:ext>
          </a:extLst>
        </xdr:cNvPr>
        <xdr:cNvSpPr/>
      </xdr:nvSpPr>
      <xdr:spPr>
        <a:xfrm>
          <a:off x="10415319" y="1211395"/>
          <a:ext cx="1825663" cy="1659814"/>
        </a:xfrm>
        <a:prstGeom prst="roundRect">
          <a:avLst/>
        </a:prstGeom>
        <a:solidFill>
          <a:schemeClr val="accent6">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81A19B12-431C-4971-BBEF-0009D6E16B49}" type="TxLink">
            <a:rPr lang="en-US" sz="2800" b="1" i="0" u="none" strike="noStrike">
              <a:solidFill>
                <a:schemeClr val="tx1"/>
              </a:solidFill>
              <a:latin typeface="Aptos Narrow"/>
            </a:rPr>
            <a:pPr algn="ctr"/>
            <a:t>£13.61</a:t>
          </a:fld>
          <a:endParaRPr lang="en-GB" sz="1100">
            <a:solidFill>
              <a:schemeClr val="tx1"/>
            </a:solidFill>
          </a:endParaRPr>
        </a:p>
      </xdr:txBody>
    </xdr:sp>
    <xdr:clientData/>
  </xdr:twoCellAnchor>
  <xdr:twoCellAnchor>
    <xdr:from>
      <xdr:col>10</xdr:col>
      <xdr:colOff>1594885</xdr:colOff>
      <xdr:row>6</xdr:row>
      <xdr:rowOff>14767</xdr:rowOff>
    </xdr:from>
    <xdr:to>
      <xdr:col>11</xdr:col>
      <xdr:colOff>959884</xdr:colOff>
      <xdr:row>7</xdr:row>
      <xdr:rowOff>280581</xdr:rowOff>
    </xdr:to>
    <xdr:sp macro="" textlink="">
      <xdr:nvSpPr>
        <xdr:cNvPr id="22" name="TextBox 21">
          <a:extLst>
            <a:ext uri="{FF2B5EF4-FFF2-40B4-BE49-F238E27FC236}">
              <a16:creationId xmlns:a16="http://schemas.microsoft.com/office/drawing/2014/main" id="{5526C8F7-BB63-4BF1-881A-DDDD4E94AD56}"/>
            </a:ext>
          </a:extLst>
        </xdr:cNvPr>
        <xdr:cNvSpPr txBox="1"/>
      </xdr:nvSpPr>
      <xdr:spPr>
        <a:xfrm>
          <a:off x="10795001" y="1225697"/>
          <a:ext cx="1225697" cy="5906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Average Hourly Pay</a:t>
          </a:r>
        </a:p>
      </xdr:txBody>
    </xdr:sp>
    <xdr:clientData/>
  </xdr:twoCellAnchor>
  <xdr:twoCellAnchor editAs="oneCell">
    <xdr:from>
      <xdr:col>10</xdr:col>
      <xdr:colOff>1184190</xdr:colOff>
      <xdr:row>6</xdr:row>
      <xdr:rowOff>68648</xdr:rowOff>
    </xdr:from>
    <xdr:to>
      <xdr:col>10</xdr:col>
      <xdr:colOff>1656150</xdr:colOff>
      <xdr:row>7</xdr:row>
      <xdr:rowOff>197364</xdr:rowOff>
    </xdr:to>
    <xdr:pic>
      <xdr:nvPicPr>
        <xdr:cNvPr id="26" name="Graphic 25" descr="Bar graph with upward trend with solid fill">
          <a:extLst>
            <a:ext uri="{FF2B5EF4-FFF2-40B4-BE49-F238E27FC236}">
              <a16:creationId xmlns:a16="http://schemas.microsoft.com/office/drawing/2014/main" id="{9B36C5AE-4D96-A44C-1C82-22F62C8CA295}"/>
            </a:ext>
          </a:extLst>
        </xdr:cNvPr>
        <xdr:cNvPicPr>
          <a:picLocks noChangeAspect="1"/>
        </xdr:cNvPicPr>
      </xdr:nvPicPr>
      <xdr:blipFill>
        <a:blip xmlns:r="http://purl.oclc.org/ooxml/officeDocument/relationships" r:embed="rId7">
          <a:extLst>
            <a:ext uri="{96DAC541-7B7A-43D3-8B79-37D633B846F1}">
              <asvg:svgBlip xmlns:asvg="http://schemas.microsoft.com/office/drawing/2016/SVG/main" r:embed="rId8"/>
            </a:ext>
          </a:extLst>
        </a:blip>
        <a:stretch>
          <a:fillRect/>
        </a:stretch>
      </xdr:blipFill>
      <xdr:spPr>
        <a:xfrm>
          <a:off x="10391690" y="1295743"/>
          <a:ext cx="471960" cy="454797"/>
        </a:xfrm>
        <a:prstGeom prst="rect">
          <a:avLst/>
        </a:prstGeom>
      </xdr:spPr>
    </xdr:pic>
    <xdr:clientData/>
  </xdr:twoCellAnchor>
  <xdr:twoCellAnchor>
    <xdr:from>
      <xdr:col>10</xdr:col>
      <xdr:colOff>1225299</xdr:colOff>
      <xdr:row>11</xdr:row>
      <xdr:rowOff>19505</xdr:rowOff>
    </xdr:from>
    <xdr:to>
      <xdr:col>11</xdr:col>
      <xdr:colOff>1038310</xdr:colOff>
      <xdr:row>14</xdr:row>
      <xdr:rowOff>36867</xdr:rowOff>
    </xdr:to>
    <xdr:sp macro="" textlink="">
      <xdr:nvSpPr>
        <xdr:cNvPr id="28" name="TextBox 27">
          <a:extLst>
            <a:ext uri="{FF2B5EF4-FFF2-40B4-BE49-F238E27FC236}">
              <a16:creationId xmlns:a16="http://schemas.microsoft.com/office/drawing/2014/main" id="{4F019379-4322-4340-B07B-C12779F27740}"/>
            </a:ext>
          </a:extLst>
        </xdr:cNvPr>
        <xdr:cNvSpPr txBox="1"/>
      </xdr:nvSpPr>
      <xdr:spPr>
        <a:xfrm>
          <a:off x="10444558" y="2512468"/>
          <a:ext cx="1670974" cy="581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Average Hourly Pay Rate</a:t>
          </a:r>
        </a:p>
      </xdr:txBody>
    </xdr:sp>
    <xdr:clientData/>
  </xdr:twoCellAnchor>
  <xdr:twoCellAnchor>
    <xdr:from>
      <xdr:col>12</xdr:col>
      <xdr:colOff>824625</xdr:colOff>
      <xdr:row>5</xdr:row>
      <xdr:rowOff>300337</xdr:rowOff>
    </xdr:from>
    <xdr:to>
      <xdr:col>14</xdr:col>
      <xdr:colOff>131555</xdr:colOff>
      <xdr:row>12</xdr:row>
      <xdr:rowOff>176389</xdr:rowOff>
    </xdr:to>
    <xdr:sp macro="" textlink="N8">
      <xdr:nvSpPr>
        <xdr:cNvPr id="30" name="Rectangle: Rounded Corners 29">
          <a:extLst>
            <a:ext uri="{FF2B5EF4-FFF2-40B4-BE49-F238E27FC236}">
              <a16:creationId xmlns:a16="http://schemas.microsoft.com/office/drawing/2014/main" id="{52CE61C6-1190-4CF1-A3D6-CC5243090A74}"/>
            </a:ext>
          </a:extLst>
        </xdr:cNvPr>
        <xdr:cNvSpPr/>
      </xdr:nvSpPr>
      <xdr:spPr>
        <a:xfrm>
          <a:off x="13375213" y="1234161"/>
          <a:ext cx="1822028" cy="1631640"/>
        </a:xfrm>
        <a:prstGeom prst="roundRect">
          <a:avLst/>
        </a:prstGeom>
        <a:solidFill>
          <a:schemeClr val="accent6">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9B206D59-0D56-4A6A-8198-9BF8BED433CA}" type="TxLink">
            <a:rPr lang="en-US" sz="2800" b="1" i="0" u="none" strike="noStrike">
              <a:solidFill>
                <a:srgbClr val="000000"/>
              </a:solidFill>
              <a:latin typeface="Aptos Narrow"/>
            </a:rPr>
            <a:pPr algn="ctr"/>
            <a:t>£3,841.12</a:t>
          </a:fld>
          <a:endParaRPr lang="en-GB" sz="4400"/>
        </a:p>
      </xdr:txBody>
    </xdr:sp>
    <xdr:clientData/>
  </xdr:twoCellAnchor>
  <xdr:twoCellAnchor>
    <xdr:from>
      <xdr:col>13</xdr:col>
      <xdr:colOff>360407</xdr:colOff>
      <xdr:row>6</xdr:row>
      <xdr:rowOff>60069</xdr:rowOff>
    </xdr:from>
    <xdr:to>
      <xdr:col>14</xdr:col>
      <xdr:colOff>60068</xdr:colOff>
      <xdr:row>8</xdr:row>
      <xdr:rowOff>1</xdr:rowOff>
    </xdr:to>
    <xdr:sp macro="" textlink="">
      <xdr:nvSpPr>
        <xdr:cNvPr id="31" name="TextBox 30">
          <a:extLst>
            <a:ext uri="{FF2B5EF4-FFF2-40B4-BE49-F238E27FC236}">
              <a16:creationId xmlns:a16="http://schemas.microsoft.com/office/drawing/2014/main" id="{41FFD473-9878-4D7B-A6BE-2D5093A8EE28}"/>
            </a:ext>
          </a:extLst>
        </xdr:cNvPr>
        <xdr:cNvSpPr txBox="1"/>
      </xdr:nvSpPr>
      <xdr:spPr>
        <a:xfrm>
          <a:off x="13781218" y="1287164"/>
          <a:ext cx="1347228" cy="592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Highest Monthly Payroll</a:t>
          </a:r>
        </a:p>
      </xdr:txBody>
    </xdr:sp>
    <xdr:clientData/>
  </xdr:twoCellAnchor>
  <xdr:twoCellAnchor>
    <xdr:from>
      <xdr:col>13</xdr:col>
      <xdr:colOff>145877</xdr:colOff>
      <xdr:row>11</xdr:row>
      <xdr:rowOff>7944</xdr:rowOff>
    </xdr:from>
    <xdr:to>
      <xdr:col>14</xdr:col>
      <xdr:colOff>17162</xdr:colOff>
      <xdr:row>14</xdr:row>
      <xdr:rowOff>124543</xdr:rowOff>
    </xdr:to>
    <xdr:sp macro="" textlink="">
      <xdr:nvSpPr>
        <xdr:cNvPr id="32" name="TextBox 31">
          <a:extLst>
            <a:ext uri="{FF2B5EF4-FFF2-40B4-BE49-F238E27FC236}">
              <a16:creationId xmlns:a16="http://schemas.microsoft.com/office/drawing/2014/main" id="{BE6CA967-F728-4D25-B38A-76C550C2E06B}"/>
            </a:ext>
          </a:extLst>
        </xdr:cNvPr>
        <xdr:cNvSpPr txBox="1"/>
      </xdr:nvSpPr>
      <xdr:spPr>
        <a:xfrm>
          <a:off x="13586710" y="2500907"/>
          <a:ext cx="1517582" cy="681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Highest paid employee</a:t>
          </a:r>
        </a:p>
      </xdr:txBody>
    </xdr:sp>
    <xdr:clientData/>
  </xdr:twoCellAnchor>
  <xdr:twoCellAnchor editAs="oneCell">
    <xdr:from>
      <xdr:col>13</xdr:col>
      <xdr:colOff>32398</xdr:colOff>
      <xdr:row>6</xdr:row>
      <xdr:rowOff>142551</xdr:rowOff>
    </xdr:from>
    <xdr:to>
      <xdr:col>13</xdr:col>
      <xdr:colOff>421173</xdr:colOff>
      <xdr:row>7</xdr:row>
      <xdr:rowOff>181429</xdr:rowOff>
    </xdr:to>
    <xdr:pic>
      <xdr:nvPicPr>
        <xdr:cNvPr id="34" name="Graphic 33" descr="Star with solid fill">
          <a:extLst>
            <a:ext uri="{FF2B5EF4-FFF2-40B4-BE49-F238E27FC236}">
              <a16:creationId xmlns:a16="http://schemas.microsoft.com/office/drawing/2014/main" id="{33993004-F986-A640-1EED-F639BF513F11}"/>
            </a:ext>
          </a:extLst>
        </xdr:cNvPr>
        <xdr:cNvPicPr>
          <a:picLocks noChangeAspect="1"/>
        </xdr:cNvPicPr>
      </xdr:nvPicPr>
      <xdr:blipFill>
        <a:blip xmlns:r="http://purl.oclc.org/ooxml/officeDocument/relationships" r:embed="rId9">
          <a:extLst>
            <a:ext uri="{96DAC541-7B7A-43D3-8B79-37D633B846F1}">
              <asvg:svgBlip xmlns:asvg="http://schemas.microsoft.com/office/drawing/2016/SVG/main" r:embed="rId10"/>
            </a:ext>
          </a:extLst>
        </a:blip>
        <a:stretch>
          <a:fillRect/>
        </a:stretch>
      </xdr:blipFill>
      <xdr:spPr>
        <a:xfrm>
          <a:off x="13451633" y="1380153"/>
          <a:ext cx="388775" cy="369337"/>
        </a:xfrm>
        <a:prstGeom prst="rect">
          <a:avLst/>
        </a:prstGeom>
      </xdr:spPr>
    </xdr:pic>
    <xdr:clientData/>
  </xdr:twoCellAnchor>
  <xdr:twoCellAnchor>
    <xdr:from>
      <xdr:col>14</xdr:col>
      <xdr:colOff>1332254</xdr:colOff>
      <xdr:row>5</xdr:row>
      <xdr:rowOff>323471</xdr:rowOff>
    </xdr:from>
    <xdr:to>
      <xdr:col>16</xdr:col>
      <xdr:colOff>73708</xdr:colOff>
      <xdr:row>13</xdr:row>
      <xdr:rowOff>12451</xdr:rowOff>
    </xdr:to>
    <xdr:sp macro="" textlink="P8">
      <xdr:nvSpPr>
        <xdr:cNvPr id="35" name="Rectangle: Rounded Corners 34">
          <a:extLst>
            <a:ext uri="{FF2B5EF4-FFF2-40B4-BE49-F238E27FC236}">
              <a16:creationId xmlns:a16="http://schemas.microsoft.com/office/drawing/2014/main" id="{8A1C5A06-CA6B-477C-B1BE-35049911B418}"/>
            </a:ext>
          </a:extLst>
        </xdr:cNvPr>
        <xdr:cNvSpPr/>
      </xdr:nvSpPr>
      <xdr:spPr>
        <a:xfrm>
          <a:off x="16397940" y="1257295"/>
          <a:ext cx="1829297" cy="1631332"/>
        </a:xfrm>
        <a:prstGeom prst="roundRect">
          <a:avLst/>
        </a:prstGeom>
        <a:solidFill>
          <a:schemeClr val="accent2">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FFCFF696-1349-42A9-9D73-3C1099730858}" type="TxLink">
            <a:rPr lang="en-US" sz="2800" b="1" i="0" u="none" strike="noStrike">
              <a:solidFill>
                <a:schemeClr val="tx1"/>
              </a:solidFill>
              <a:latin typeface="Aptos Narrow"/>
            </a:rPr>
            <a:pPr algn="ctr"/>
            <a:t>41.25</a:t>
          </a:fld>
          <a:endParaRPr lang="en-GB" sz="4400">
            <a:solidFill>
              <a:schemeClr val="tx1"/>
            </a:solidFill>
          </a:endParaRPr>
        </a:p>
      </xdr:txBody>
    </xdr:sp>
    <xdr:clientData/>
  </xdr:twoCellAnchor>
  <xdr:twoCellAnchor>
    <xdr:from>
      <xdr:col>15</xdr:col>
      <xdr:colOff>401734</xdr:colOff>
      <xdr:row>6</xdr:row>
      <xdr:rowOff>77756</xdr:rowOff>
    </xdr:from>
    <xdr:to>
      <xdr:col>16</xdr:col>
      <xdr:colOff>194387</xdr:colOff>
      <xdr:row>7</xdr:row>
      <xdr:rowOff>99608</xdr:rowOff>
    </xdr:to>
    <xdr:sp macro="" textlink="">
      <xdr:nvSpPr>
        <xdr:cNvPr id="36" name="TextBox 35">
          <a:extLst>
            <a:ext uri="{FF2B5EF4-FFF2-40B4-BE49-F238E27FC236}">
              <a16:creationId xmlns:a16="http://schemas.microsoft.com/office/drawing/2014/main" id="{17D6E8C7-2FE8-4E7A-889A-D262DF585111}"/>
            </a:ext>
          </a:extLst>
        </xdr:cNvPr>
        <xdr:cNvSpPr txBox="1"/>
      </xdr:nvSpPr>
      <xdr:spPr>
        <a:xfrm>
          <a:off x="16837028" y="1347756"/>
          <a:ext cx="1510888" cy="358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2">
                  <a:lumMod val="75%"/>
                </a:schemeClr>
              </a:solidFill>
            </a:rPr>
            <a:t>Total Overtime Hours</a:t>
          </a:r>
        </a:p>
      </xdr:txBody>
    </xdr:sp>
    <xdr:clientData/>
  </xdr:twoCellAnchor>
  <xdr:twoCellAnchor>
    <xdr:from>
      <xdr:col>14</xdr:col>
      <xdr:colOff>1272400</xdr:colOff>
      <xdr:row>11</xdr:row>
      <xdr:rowOff>11999</xdr:rowOff>
    </xdr:from>
    <xdr:to>
      <xdr:col>17</xdr:col>
      <xdr:colOff>4087</xdr:colOff>
      <xdr:row>14</xdr:row>
      <xdr:rowOff>128598</xdr:rowOff>
    </xdr:to>
    <xdr:sp macro="" textlink="">
      <xdr:nvSpPr>
        <xdr:cNvPr id="37" name="TextBox 36">
          <a:extLst>
            <a:ext uri="{FF2B5EF4-FFF2-40B4-BE49-F238E27FC236}">
              <a16:creationId xmlns:a16="http://schemas.microsoft.com/office/drawing/2014/main" id="{9A5A497E-FC44-4114-9359-4F0167623D70}"/>
            </a:ext>
          </a:extLst>
        </xdr:cNvPr>
        <xdr:cNvSpPr txBox="1"/>
      </xdr:nvSpPr>
      <xdr:spPr>
        <a:xfrm>
          <a:off x="16359530" y="2504962"/>
          <a:ext cx="2424094" cy="681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accent2">
                  <a:lumMod val="75%"/>
                </a:schemeClr>
              </a:solidFill>
            </a:rPr>
            <a:t>Total overtime hours worked</a:t>
          </a:r>
        </a:p>
      </xdr:txBody>
    </xdr:sp>
    <xdr:clientData/>
  </xdr:twoCellAnchor>
  <xdr:twoCellAnchor editAs="oneCell">
    <xdr:from>
      <xdr:col>14</xdr:col>
      <xdr:colOff>1336559</xdr:colOff>
      <xdr:row>6</xdr:row>
      <xdr:rowOff>113315</xdr:rowOff>
    </xdr:from>
    <xdr:to>
      <xdr:col>15</xdr:col>
      <xdr:colOff>497841</xdr:colOff>
      <xdr:row>7</xdr:row>
      <xdr:rowOff>281785</xdr:rowOff>
    </xdr:to>
    <xdr:pic>
      <xdr:nvPicPr>
        <xdr:cNvPr id="39" name="Graphic 38" descr="Stopwatch 75% with solid fill">
          <a:extLst>
            <a:ext uri="{FF2B5EF4-FFF2-40B4-BE49-F238E27FC236}">
              <a16:creationId xmlns:a16="http://schemas.microsoft.com/office/drawing/2014/main" id="{A84B26E4-15CE-2AEE-0200-62C69718C2B3}"/>
            </a:ext>
          </a:extLst>
        </xdr:cNvPr>
        <xdr:cNvPicPr>
          <a:picLocks noChangeAspect="1"/>
        </xdr:cNvPicPr>
      </xdr:nvPicPr>
      <xdr:blipFill>
        <a:blip xmlns:r="http://purl.oclc.org/ooxml/officeDocument/relationships" r:embed="rId11">
          <a:extLst>
            <a:ext uri="{96DAC541-7B7A-43D3-8B79-37D633B846F1}">
              <asvg:svgBlip xmlns:asvg="http://schemas.microsoft.com/office/drawing/2016/SVG/main" r:embed="rId12"/>
            </a:ext>
          </a:extLst>
        </a:blip>
        <a:stretch>
          <a:fillRect/>
        </a:stretch>
      </xdr:blipFill>
      <xdr:spPr>
        <a:xfrm>
          <a:off x="16419079" y="1357915"/>
          <a:ext cx="527802" cy="498670"/>
        </a:xfrm>
        <a:prstGeom prst="rect">
          <a:avLst/>
        </a:prstGeom>
      </xdr:spPr>
    </xdr:pic>
    <xdr:clientData/>
  </xdr:twoCellAnchor>
  <xdr:twoCellAnchor>
    <xdr:from>
      <xdr:col>17</xdr:col>
      <xdr:colOff>226786</xdr:colOff>
      <xdr:row>6</xdr:row>
      <xdr:rowOff>0</xdr:rowOff>
    </xdr:from>
    <xdr:to>
      <xdr:col>17</xdr:col>
      <xdr:colOff>2059005</xdr:colOff>
      <xdr:row>13</xdr:row>
      <xdr:rowOff>11760</xdr:rowOff>
    </xdr:to>
    <xdr:sp macro="" textlink="R8">
      <xdr:nvSpPr>
        <xdr:cNvPr id="40" name="Rectangle: Rounded Corners 39">
          <a:extLst>
            <a:ext uri="{FF2B5EF4-FFF2-40B4-BE49-F238E27FC236}">
              <a16:creationId xmlns:a16="http://schemas.microsoft.com/office/drawing/2014/main" id="{51CB901D-02C3-4325-998D-AABAD9BBA435}"/>
            </a:ext>
          </a:extLst>
        </xdr:cNvPr>
        <xdr:cNvSpPr/>
      </xdr:nvSpPr>
      <xdr:spPr>
        <a:xfrm>
          <a:off x="18990413" y="1270000"/>
          <a:ext cx="1832219" cy="1617936"/>
        </a:xfrm>
        <a:prstGeom prst="roundRect">
          <a:avLst/>
        </a:prstGeom>
        <a:solidFill>
          <a:schemeClr val="accent2">
            <a:lumMod val="20%"/>
            <a:lumOff val="8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ctr"/>
        <a:lstStyle/>
        <a:p>
          <a:pPr algn="ctr"/>
          <a:fld id="{AD36F41B-D27A-4530-865C-1372C94C3369}" type="TxLink">
            <a:rPr lang="en-US" sz="2800" b="1" i="0" u="none" strike="noStrike">
              <a:solidFill>
                <a:sysClr val="windowText" lastClr="000000"/>
              </a:solidFill>
              <a:latin typeface="Aptos Narrow"/>
            </a:rPr>
            <a:pPr algn="ctr"/>
            <a:t>£836.75</a:t>
          </a:fld>
          <a:endParaRPr lang="en-GB" sz="4400">
            <a:solidFill>
              <a:sysClr val="windowText" lastClr="000000"/>
            </a:solidFill>
          </a:endParaRPr>
        </a:p>
      </xdr:txBody>
    </xdr:sp>
    <xdr:clientData/>
  </xdr:twoCellAnchor>
  <xdr:twoCellAnchor>
    <xdr:from>
      <xdr:col>17</xdr:col>
      <xdr:colOff>680358</xdr:colOff>
      <xdr:row>6</xdr:row>
      <xdr:rowOff>105833</xdr:rowOff>
    </xdr:from>
    <xdr:to>
      <xdr:col>17</xdr:col>
      <xdr:colOff>1844524</xdr:colOff>
      <xdr:row>9</xdr:row>
      <xdr:rowOff>30237</xdr:rowOff>
    </xdr:to>
    <xdr:sp macro="" textlink="">
      <xdr:nvSpPr>
        <xdr:cNvPr id="41" name="TextBox 40">
          <a:extLst>
            <a:ext uri="{FF2B5EF4-FFF2-40B4-BE49-F238E27FC236}">
              <a16:creationId xmlns:a16="http://schemas.microsoft.com/office/drawing/2014/main" id="{8038C8DD-2701-40B8-A5FD-188FCCDAD445}"/>
            </a:ext>
          </a:extLst>
        </xdr:cNvPr>
        <xdr:cNvSpPr txBox="1"/>
      </xdr:nvSpPr>
      <xdr:spPr>
        <a:xfrm>
          <a:off x="19443985" y="1375833"/>
          <a:ext cx="1164166" cy="783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chemeClr val="accent2">
                  <a:lumMod val="75%"/>
                </a:schemeClr>
              </a:solidFill>
            </a:rPr>
            <a:t>Total Overtime Pay</a:t>
          </a:r>
        </a:p>
      </xdr:txBody>
    </xdr:sp>
    <xdr:clientData/>
  </xdr:twoCellAnchor>
  <xdr:twoCellAnchor>
    <xdr:from>
      <xdr:col>17</xdr:col>
      <xdr:colOff>520770</xdr:colOff>
      <xdr:row>11</xdr:row>
      <xdr:rowOff>35277</xdr:rowOff>
    </xdr:from>
    <xdr:to>
      <xdr:col>17</xdr:col>
      <xdr:colOff>1972198</xdr:colOff>
      <xdr:row>14</xdr:row>
      <xdr:rowOff>95753</xdr:rowOff>
    </xdr:to>
    <xdr:sp macro="" textlink="">
      <xdr:nvSpPr>
        <xdr:cNvPr id="42" name="TextBox 41">
          <a:extLst>
            <a:ext uri="{FF2B5EF4-FFF2-40B4-BE49-F238E27FC236}">
              <a16:creationId xmlns:a16="http://schemas.microsoft.com/office/drawing/2014/main" id="{38EB6F51-3496-4E16-9DEA-12541DDA251E}"/>
            </a:ext>
          </a:extLst>
        </xdr:cNvPr>
        <xdr:cNvSpPr txBox="1"/>
      </xdr:nvSpPr>
      <xdr:spPr>
        <a:xfrm>
          <a:off x="19300307" y="2528240"/>
          <a:ext cx="1451428" cy="62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accent2">
                  <a:lumMod val="75%"/>
                </a:schemeClr>
              </a:solidFill>
            </a:rPr>
            <a:t>Total Overtime Pay</a:t>
          </a:r>
        </a:p>
      </xdr:txBody>
    </xdr:sp>
    <xdr:clientData/>
  </xdr:twoCellAnchor>
  <xdr:twoCellAnchor editAs="oneCell">
    <xdr:from>
      <xdr:col>17</xdr:col>
      <xdr:colOff>279015</xdr:colOff>
      <xdr:row>6</xdr:row>
      <xdr:rowOff>125075</xdr:rowOff>
    </xdr:from>
    <xdr:to>
      <xdr:col>17</xdr:col>
      <xdr:colOff>772446</xdr:colOff>
      <xdr:row>7</xdr:row>
      <xdr:rowOff>255648</xdr:rowOff>
    </xdr:to>
    <xdr:pic>
      <xdr:nvPicPr>
        <xdr:cNvPr id="44" name="Graphic 43" descr="Bank with solid fill">
          <a:extLst>
            <a:ext uri="{FF2B5EF4-FFF2-40B4-BE49-F238E27FC236}">
              <a16:creationId xmlns:a16="http://schemas.microsoft.com/office/drawing/2014/main" id="{C72F1DFA-9AA5-AB88-21EC-C5A7AEBC3DBE}"/>
            </a:ext>
          </a:extLst>
        </xdr:cNvPr>
        <xdr:cNvPicPr>
          <a:picLocks noChangeAspect="1"/>
        </xdr:cNvPicPr>
      </xdr:nvPicPr>
      <xdr:blipFill>
        <a:blip xmlns:r="http://purl.oclc.org/ooxml/officeDocument/relationships" r:embed="rId5">
          <a:extLst>
            <a:ext uri="{96DAC541-7B7A-43D3-8B79-37D633B846F1}">
              <asvg:svgBlip xmlns:asvg="http://schemas.microsoft.com/office/drawing/2016/SVG/main" r:embed="rId6"/>
            </a:ext>
          </a:extLst>
        </a:blip>
        <a:stretch>
          <a:fillRect/>
        </a:stretch>
      </xdr:blipFill>
      <xdr:spPr>
        <a:xfrm>
          <a:off x="19021136" y="1366211"/>
          <a:ext cx="493431" cy="457695"/>
        </a:xfrm>
        <a:prstGeom prst="rect">
          <a:avLst/>
        </a:prstGeom>
      </xdr:spPr>
    </xdr:pic>
    <xdr:clientData/>
  </xdr:twoCellAnchor>
  <xdr:twoCellAnchor>
    <xdr:from>
      <xdr:col>6</xdr:col>
      <xdr:colOff>23518</xdr:colOff>
      <xdr:row>18</xdr:row>
      <xdr:rowOff>0</xdr:rowOff>
    </xdr:from>
    <xdr:to>
      <xdr:col>9</xdr:col>
      <xdr:colOff>846666</xdr:colOff>
      <xdr:row>32</xdr:row>
      <xdr:rowOff>129352</xdr:rowOff>
    </xdr:to>
    <xdr:sp macro="" textlink="">
      <xdr:nvSpPr>
        <xdr:cNvPr id="45" name="Rectangle 44">
          <a:extLst>
            <a:ext uri="{FF2B5EF4-FFF2-40B4-BE49-F238E27FC236}">
              <a16:creationId xmlns:a16="http://schemas.microsoft.com/office/drawing/2014/main" id="{E75BD7EE-B4AA-5798-9053-E553145E8EDB}"/>
            </a:ext>
          </a:extLst>
        </xdr:cNvPr>
        <xdr:cNvSpPr/>
      </xdr:nvSpPr>
      <xdr:spPr>
        <a:xfrm>
          <a:off x="3727685" y="3651250"/>
          <a:ext cx="4809537" cy="2598796"/>
        </a:xfrm>
        <a:prstGeom prst="rect">
          <a:avLst/>
        </a:prstGeom>
        <a:solidFill>
          <a:schemeClr val="bg1">
            <a:lumMod val="95%"/>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1446388</xdr:colOff>
      <xdr:row>18</xdr:row>
      <xdr:rowOff>11759</xdr:rowOff>
    </xdr:from>
    <xdr:to>
      <xdr:col>13</xdr:col>
      <xdr:colOff>88194</xdr:colOff>
      <xdr:row>32</xdr:row>
      <xdr:rowOff>141111</xdr:rowOff>
    </xdr:to>
    <xdr:sp macro="" textlink="">
      <xdr:nvSpPr>
        <xdr:cNvPr id="46" name="Rectangle 45">
          <a:extLst>
            <a:ext uri="{FF2B5EF4-FFF2-40B4-BE49-F238E27FC236}">
              <a16:creationId xmlns:a16="http://schemas.microsoft.com/office/drawing/2014/main" id="{51588B03-094C-42F2-8D69-280C8D003470}"/>
            </a:ext>
          </a:extLst>
        </xdr:cNvPr>
        <xdr:cNvSpPr/>
      </xdr:nvSpPr>
      <xdr:spPr>
        <a:xfrm>
          <a:off x="9136944" y="3663009"/>
          <a:ext cx="4445000" cy="2598796"/>
        </a:xfrm>
        <a:prstGeom prst="rect">
          <a:avLst/>
        </a:prstGeom>
        <a:solidFill>
          <a:schemeClr val="bg1">
            <a:lumMod val="95%"/>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1434855</xdr:colOff>
      <xdr:row>14</xdr:row>
      <xdr:rowOff>179781</xdr:rowOff>
    </xdr:from>
    <xdr:to>
      <xdr:col>13</xdr:col>
      <xdr:colOff>85481</xdr:colOff>
      <xdr:row>18</xdr:row>
      <xdr:rowOff>12212</xdr:rowOff>
    </xdr:to>
    <xdr:sp macro="" textlink="">
      <xdr:nvSpPr>
        <xdr:cNvPr id="48" name="TextBox 47">
          <a:extLst>
            <a:ext uri="{FF2B5EF4-FFF2-40B4-BE49-F238E27FC236}">
              <a16:creationId xmlns:a16="http://schemas.microsoft.com/office/drawing/2014/main" id="{8599F2D6-67D9-4DA1-B476-4C2FECDABBC0}"/>
            </a:ext>
          </a:extLst>
        </xdr:cNvPr>
        <xdr:cNvSpPr txBox="1"/>
      </xdr:nvSpPr>
      <xdr:spPr>
        <a:xfrm>
          <a:off x="9067067" y="3183819"/>
          <a:ext cx="4451106" cy="565124"/>
        </a:xfrm>
        <a:prstGeom prst="rect">
          <a:avLst/>
        </a:prstGeom>
        <a:solidFill>
          <a:schemeClr val="accent3">
            <a:lumMod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a:solidFill>
                <a:schemeClr val="bg2"/>
              </a:solidFill>
            </a:rPr>
            <a:t>Monthly</a:t>
          </a:r>
          <a:r>
            <a:rPr lang="en-GB" sz="2400" b="1" baseline="0%">
              <a:solidFill>
                <a:schemeClr val="bg2"/>
              </a:solidFill>
            </a:rPr>
            <a:t> payroll by Employee</a:t>
          </a:r>
          <a:endParaRPr lang="en-GB" sz="2400" b="1">
            <a:solidFill>
              <a:schemeClr val="bg2"/>
            </a:solidFill>
          </a:endParaRPr>
        </a:p>
      </xdr:txBody>
    </xdr:sp>
    <xdr:clientData/>
  </xdr:twoCellAnchor>
  <xdr:twoCellAnchor>
    <xdr:from>
      <xdr:col>6</xdr:col>
      <xdr:colOff>460375</xdr:colOff>
      <xdr:row>16</xdr:row>
      <xdr:rowOff>63500</xdr:rowOff>
    </xdr:from>
    <xdr:to>
      <xdr:col>9</xdr:col>
      <xdr:colOff>635000</xdr:colOff>
      <xdr:row>29</xdr:row>
      <xdr:rowOff>15875</xdr:rowOff>
    </xdr:to>
    <xdr:graphicFrame macro="">
      <xdr:nvGraphicFramePr>
        <xdr:cNvPr id="49" name="Chart 48">
          <a:extLst>
            <a:ext uri="{FF2B5EF4-FFF2-40B4-BE49-F238E27FC236}">
              <a16:creationId xmlns:a16="http://schemas.microsoft.com/office/drawing/2014/main" id="{A0C84CF3-7ECD-4521-9170-59B331D4BDE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3"/>
        </a:graphicData>
      </a:graphic>
    </xdr:graphicFrame>
    <xdr:clientData/>
  </xdr:twoCellAnchor>
  <xdr:twoCellAnchor>
    <xdr:from>
      <xdr:col>10</xdr:col>
      <xdr:colOff>114652</xdr:colOff>
      <xdr:row>19</xdr:row>
      <xdr:rowOff>17950</xdr:rowOff>
    </xdr:from>
    <xdr:to>
      <xdr:col>12</xdr:col>
      <xdr:colOff>845087</xdr:colOff>
      <xdr:row>32</xdr:row>
      <xdr:rowOff>27428</xdr:rowOff>
    </xdr:to>
    <xdr:graphicFrame macro="">
      <xdr:nvGraphicFramePr>
        <xdr:cNvPr id="50" name="Chart 49">
          <a:extLst>
            <a:ext uri="{FF2B5EF4-FFF2-40B4-BE49-F238E27FC236}">
              <a16:creationId xmlns:a16="http://schemas.microsoft.com/office/drawing/2014/main" id="{D97D38D9-32BF-4654-A3E7-13F7E7767A7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4"/>
        </a:graphicData>
      </a:graphic>
    </xdr:graphicFrame>
    <xdr:clientData/>
  </xdr:twoCellAnchor>
  <xdr:twoCellAnchor>
    <xdr:from>
      <xdr:col>13</xdr:col>
      <xdr:colOff>1044633</xdr:colOff>
      <xdr:row>18</xdr:row>
      <xdr:rowOff>14001</xdr:rowOff>
    </xdr:from>
    <xdr:to>
      <xdr:col>17</xdr:col>
      <xdr:colOff>154335</xdr:colOff>
      <xdr:row>32</xdr:row>
      <xdr:rowOff>139741</xdr:rowOff>
    </xdr:to>
    <xdr:sp macro="" textlink="">
      <xdr:nvSpPr>
        <xdr:cNvPr id="51" name="Rectangle 50">
          <a:extLst>
            <a:ext uri="{FF2B5EF4-FFF2-40B4-BE49-F238E27FC236}">
              <a16:creationId xmlns:a16="http://schemas.microsoft.com/office/drawing/2014/main" id="{A7C22BB8-468A-4BDC-B527-D887C34A3A07}"/>
            </a:ext>
          </a:extLst>
        </xdr:cNvPr>
        <xdr:cNvSpPr/>
      </xdr:nvSpPr>
      <xdr:spPr>
        <a:xfrm>
          <a:off x="14465444" y="3695285"/>
          <a:ext cx="4455715" cy="2648578"/>
        </a:xfrm>
        <a:prstGeom prst="rect">
          <a:avLst/>
        </a:prstGeom>
        <a:solidFill>
          <a:schemeClr val="bg1">
            <a:lumMod val="95%"/>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1029730</xdr:colOff>
      <xdr:row>14</xdr:row>
      <xdr:rowOff>171622</xdr:rowOff>
    </xdr:from>
    <xdr:to>
      <xdr:col>17</xdr:col>
      <xdr:colOff>126573</xdr:colOff>
      <xdr:row>18</xdr:row>
      <xdr:rowOff>4053</xdr:rowOff>
    </xdr:to>
    <xdr:sp macro="" textlink="">
      <xdr:nvSpPr>
        <xdr:cNvPr id="53" name="TextBox 52">
          <a:extLst>
            <a:ext uri="{FF2B5EF4-FFF2-40B4-BE49-F238E27FC236}">
              <a16:creationId xmlns:a16="http://schemas.microsoft.com/office/drawing/2014/main" id="{3AC69579-712E-4821-8FEB-C89A35813D13}"/>
            </a:ext>
          </a:extLst>
        </xdr:cNvPr>
        <xdr:cNvSpPr txBox="1"/>
      </xdr:nvSpPr>
      <xdr:spPr>
        <a:xfrm>
          <a:off x="14450541" y="3132095"/>
          <a:ext cx="4442856" cy="553242"/>
        </a:xfrm>
        <a:prstGeom prst="rect">
          <a:avLst/>
        </a:prstGeom>
        <a:solidFill>
          <a:schemeClr val="accent2">
            <a:lumMod val="75%"/>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b="1" baseline="0%">
              <a:solidFill>
                <a:schemeClr val="bg2"/>
              </a:solidFill>
            </a:rPr>
            <a:t>Overtime by Employee</a:t>
          </a:r>
          <a:endParaRPr lang="en-GB" sz="2400" b="1">
            <a:solidFill>
              <a:schemeClr val="bg2"/>
            </a:solidFill>
          </a:endParaRPr>
        </a:p>
      </xdr:txBody>
    </xdr:sp>
    <xdr:clientData/>
  </xdr:twoCellAnchor>
  <xdr:twoCellAnchor>
    <xdr:from>
      <xdr:col>13</xdr:col>
      <xdr:colOff>1293486</xdr:colOff>
      <xdr:row>18</xdr:row>
      <xdr:rowOff>108393</xdr:rowOff>
    </xdr:from>
    <xdr:to>
      <xdr:col>17</xdr:col>
      <xdr:colOff>163042</xdr:colOff>
      <xdr:row>30</xdr:row>
      <xdr:rowOff>154460</xdr:rowOff>
    </xdr:to>
    <xdr:graphicFrame macro="">
      <xdr:nvGraphicFramePr>
        <xdr:cNvPr id="54" name="Chart 53">
          <a:extLst>
            <a:ext uri="{FF2B5EF4-FFF2-40B4-BE49-F238E27FC236}">
              <a16:creationId xmlns:a16="http://schemas.microsoft.com/office/drawing/2014/main" id="{0992831A-7482-4ADF-B82F-34DC05AF6B63}"/>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5"/>
        </a:graphicData>
      </a:graphic>
    </xdr:graphicFrame>
    <xdr:clientData/>
  </xdr:twoCellAnchor>
  <xdr:twoCellAnchor>
    <xdr:from>
      <xdr:col>0</xdr:col>
      <xdr:colOff>86591</xdr:colOff>
      <xdr:row>5</xdr:row>
      <xdr:rowOff>173182</xdr:rowOff>
    </xdr:from>
    <xdr:to>
      <xdr:col>5</xdr:col>
      <xdr:colOff>317500</xdr:colOff>
      <xdr:row>13</xdr:row>
      <xdr:rowOff>28864</xdr:rowOff>
    </xdr:to>
    <xdr:sp macro="" textlink="">
      <xdr:nvSpPr>
        <xdr:cNvPr id="56" name="Rectangle 55">
          <a:extLst>
            <a:ext uri="{FF2B5EF4-FFF2-40B4-BE49-F238E27FC236}">
              <a16:creationId xmlns:a16="http://schemas.microsoft.com/office/drawing/2014/main" id="{E674EF1A-9AC6-C708-4BFE-5188874E3743}"/>
            </a:ext>
          </a:extLst>
        </xdr:cNvPr>
        <xdr:cNvSpPr/>
      </xdr:nvSpPr>
      <xdr:spPr>
        <a:xfrm>
          <a:off x="86591" y="1111250"/>
          <a:ext cx="3261591" cy="1789546"/>
        </a:xfrm>
        <a:prstGeom prst="rect">
          <a:avLst/>
        </a:prstGeom>
        <a:solidFill>
          <a:schemeClr val="accent6">
            <a:lumMod val="20%"/>
            <a:lumOff val="80%"/>
          </a:schemeClr>
        </a:solidFill>
        <a:ln>
          <a:noFill/>
        </a:ln>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129887</xdr:colOff>
      <xdr:row>6</xdr:row>
      <xdr:rowOff>230907</xdr:rowOff>
    </xdr:from>
    <xdr:to>
      <xdr:col>5</xdr:col>
      <xdr:colOff>57727</xdr:colOff>
      <xdr:row>14</xdr:row>
      <xdr:rowOff>158750</xdr:rowOff>
    </xdr:to>
    <xdr:sp macro="" textlink="">
      <xdr:nvSpPr>
        <xdr:cNvPr id="57" name="TextBox 56">
          <a:extLst>
            <a:ext uri="{FF2B5EF4-FFF2-40B4-BE49-F238E27FC236}">
              <a16:creationId xmlns:a16="http://schemas.microsoft.com/office/drawing/2014/main" id="{1742800C-5E8F-C037-0B34-16A67792CDAB}"/>
            </a:ext>
          </a:extLst>
        </xdr:cNvPr>
        <xdr:cNvSpPr txBox="1"/>
      </xdr:nvSpPr>
      <xdr:spPr>
        <a:xfrm>
          <a:off x="129887" y="1500907"/>
          <a:ext cx="2958522" cy="1717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b="1"/>
            <a:t>Payroll</a:t>
          </a:r>
          <a:endParaRPr lang="en-GB" sz="3200" b="1" baseline="0%"/>
        </a:p>
        <a:p>
          <a:pPr algn="ctr"/>
          <a:r>
            <a:rPr lang="en-GB" sz="3200" b="1" baseline="0%"/>
            <a:t>Summary</a:t>
          </a:r>
          <a:endParaRPr lang="en-GB" sz="3200" b="1"/>
        </a:p>
      </xdr:txBody>
    </xdr:sp>
    <xdr:clientData/>
  </xdr:twoCellAnchor>
  <xdr:twoCellAnchor editAs="oneCell">
    <xdr:from>
      <xdr:col>2</xdr:col>
      <xdr:colOff>1</xdr:colOff>
      <xdr:row>5</xdr:row>
      <xdr:rowOff>202045</xdr:rowOff>
    </xdr:from>
    <xdr:to>
      <xdr:col>3</xdr:col>
      <xdr:colOff>230910</xdr:colOff>
      <xdr:row>8</xdr:row>
      <xdr:rowOff>43294</xdr:rowOff>
    </xdr:to>
    <xdr:pic>
      <xdr:nvPicPr>
        <xdr:cNvPr id="63" name="Graphic 62" descr="Clipboard with solid fill">
          <a:extLst>
            <a:ext uri="{FF2B5EF4-FFF2-40B4-BE49-F238E27FC236}">
              <a16:creationId xmlns:a16="http://schemas.microsoft.com/office/drawing/2014/main" id="{53A60B1B-3430-2D73-997E-B56CAFCFDBE9}"/>
            </a:ext>
          </a:extLst>
        </xdr:cNvPr>
        <xdr:cNvPicPr>
          <a:picLocks noChangeAspect="1"/>
        </xdr:cNvPicPr>
      </xdr:nvPicPr>
      <xdr:blipFill>
        <a:blip xmlns:r="http://purl.oclc.org/ooxml/officeDocument/relationships" r:embed="rId16">
          <a:extLst>
            <a:ext uri="{96DAC541-7B7A-43D3-8B79-37D633B846F1}">
              <asvg:svgBlip xmlns:asvg="http://schemas.microsoft.com/office/drawing/2016/SVG/main" r:embed="rId17"/>
            </a:ext>
          </a:extLst>
        </a:blip>
        <a:stretch>
          <a:fillRect/>
        </a:stretch>
      </xdr:blipFill>
      <xdr:spPr>
        <a:xfrm>
          <a:off x="1212274" y="1140113"/>
          <a:ext cx="837045" cy="837045"/>
        </a:xfrm>
        <a:prstGeom prst="rect">
          <a:avLst/>
        </a:prstGeom>
      </xdr:spPr>
    </xdr:pic>
    <xdr:clientData/>
  </xdr:twoCellAnchor>
  <xdr:twoCellAnchor>
    <xdr:from>
      <xdr:col>0</xdr:col>
      <xdr:colOff>101023</xdr:colOff>
      <xdr:row>14</xdr:row>
      <xdr:rowOff>0</xdr:rowOff>
    </xdr:from>
    <xdr:to>
      <xdr:col>5</xdr:col>
      <xdr:colOff>317500</xdr:colOff>
      <xdr:row>38</xdr:row>
      <xdr:rowOff>179102</xdr:rowOff>
    </xdr:to>
    <xdr:sp macro="" textlink="">
      <xdr:nvSpPr>
        <xdr:cNvPr id="64" name="Rectangle: Rounded Corners 63">
          <a:extLst>
            <a:ext uri="{FF2B5EF4-FFF2-40B4-BE49-F238E27FC236}">
              <a16:creationId xmlns:a16="http://schemas.microsoft.com/office/drawing/2014/main" id="{9F868E2C-CC47-B221-F3CF-BFB194451B61}"/>
            </a:ext>
          </a:extLst>
        </xdr:cNvPr>
        <xdr:cNvSpPr/>
      </xdr:nvSpPr>
      <xdr:spPr>
        <a:xfrm>
          <a:off x="101023" y="3061026"/>
          <a:ext cx="3269362" cy="4672948"/>
        </a:xfrm>
        <a:prstGeom prst="roundRect">
          <a:avLst/>
        </a:prstGeom>
        <a:solidFill>
          <a:schemeClr val="bg2">
            <a:lumMod val="90%"/>
          </a:schemeClr>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447386</xdr:colOff>
      <xdr:row>14</xdr:row>
      <xdr:rowOff>101023</xdr:rowOff>
    </xdr:from>
    <xdr:to>
      <xdr:col>4</xdr:col>
      <xdr:colOff>562841</xdr:colOff>
      <xdr:row>17</xdr:row>
      <xdr:rowOff>101022</xdr:rowOff>
    </xdr:to>
    <xdr:sp macro="" textlink="">
      <xdr:nvSpPr>
        <xdr:cNvPr id="65" name="TextBox 64">
          <a:extLst>
            <a:ext uri="{FF2B5EF4-FFF2-40B4-BE49-F238E27FC236}">
              <a16:creationId xmlns:a16="http://schemas.microsoft.com/office/drawing/2014/main" id="{9A60CF2A-60E3-B55D-D337-62B54DE4DD3C}"/>
            </a:ext>
          </a:extLst>
        </xdr:cNvPr>
        <xdr:cNvSpPr txBox="1"/>
      </xdr:nvSpPr>
      <xdr:spPr>
        <a:xfrm>
          <a:off x="447386" y="3160568"/>
          <a:ext cx="2540000" cy="562840"/>
        </a:xfrm>
        <a:prstGeom prst="rect">
          <a:avLst/>
        </a:prstGeom>
        <a:solidFill>
          <a:schemeClr val="accent3">
            <a:lumMod val="50%"/>
          </a:schemeClr>
        </a:solidFill>
        <a:ln w="9525" cmpd="sng">
          <a:solidFill>
            <a:schemeClr val="lt1">
              <a:shade val="5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bg1"/>
              </a:solidFill>
            </a:rPr>
            <a:t>Slicers</a:t>
          </a:r>
        </a:p>
      </xdr:txBody>
    </xdr:sp>
    <xdr:clientData/>
  </xdr:twoCellAnchor>
  <xdr:twoCellAnchor editAs="oneCell">
    <xdr:from>
      <xdr:col>0</xdr:col>
      <xdr:colOff>196125</xdr:colOff>
      <xdr:row>17</xdr:row>
      <xdr:rowOff>146538</xdr:rowOff>
    </xdr:from>
    <xdr:to>
      <xdr:col>5</xdr:col>
      <xdr:colOff>113973</xdr:colOff>
      <xdr:row>20</xdr:row>
      <xdr:rowOff>161547</xdr:rowOff>
    </xdr:to>
    <mc:AlternateContent xmlns:mc="http://schemas.openxmlformats.org/markup-compatibility/2006" xmlns:a14="http://schemas.microsoft.com/office/drawing/2010/main">
      <mc:Choice Requires="a14">
        <xdr:graphicFrame macro="">
          <xdr:nvGraphicFramePr>
            <xdr:cNvPr id="66" name="Employee ID 1">
              <a:extLst>
                <a:ext uri="{FF2B5EF4-FFF2-40B4-BE49-F238E27FC236}">
                  <a16:creationId xmlns:a16="http://schemas.microsoft.com/office/drawing/2014/main" id="{082900FD-07E8-40B3-BAEF-24613FBC1965}"/>
                </a:ext>
              </a:extLst>
            </xdr:cNvPr>
            <xdr:cNvGraphicFramePr/>
          </xdr:nvGraphicFramePr>
          <xdr:xfrm>
            <a:off x="0" y="0"/>
            <a:ext cx="0" cy="0"/>
          </xdr:xfrm>
          <a:graphic>
            <a:graphicData uri="http://schemas.microsoft.com/office/drawing/2010/slicer">
              <sle:slicer xmlns:sle="http://schemas.microsoft.com/office/drawing/2010/slicer" name="Employee ID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96125" y="3767754"/>
              <a:ext cx="3007037" cy="5813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208708</xdr:colOff>
      <xdr:row>20</xdr:row>
      <xdr:rowOff>182433</xdr:rowOff>
    </xdr:from>
    <xdr:to>
      <xdr:col>5</xdr:col>
      <xdr:colOff>105833</xdr:colOff>
      <xdr:row>24</xdr:row>
      <xdr:rowOff>35598</xdr:rowOff>
    </xdr:to>
    <mc:AlternateContent xmlns:mc="http://schemas.openxmlformats.org/markup-compatibility/2006" xmlns:a14="http://schemas.microsoft.com/office/drawing/2010/main">
      <mc:Choice Requires="a14">
        <xdr:graphicFrame macro="">
          <xdr:nvGraphicFramePr>
            <xdr:cNvPr id="67" name="Shift scheduling 1">
              <a:extLst>
                <a:ext uri="{FF2B5EF4-FFF2-40B4-BE49-F238E27FC236}">
                  <a16:creationId xmlns:a16="http://schemas.microsoft.com/office/drawing/2014/main" id="{351ECFAB-E1AB-4B6F-98C0-BF02A45DADDB}"/>
                </a:ext>
              </a:extLst>
            </xdr:cNvPr>
            <xdr:cNvGraphicFramePr/>
          </xdr:nvGraphicFramePr>
          <xdr:xfrm>
            <a:off x="0" y="0"/>
            <a:ext cx="0" cy="0"/>
          </xdr:xfrm>
          <a:graphic>
            <a:graphicData uri="http://schemas.microsoft.com/office/drawing/2010/slicer">
              <sle:slicer xmlns:sle="http://schemas.microsoft.com/office/drawing/2010/slicer" name="Shift scheduling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08708" y="4370001"/>
              <a:ext cx="2986314" cy="608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218697</xdr:colOff>
      <xdr:row>24</xdr:row>
      <xdr:rowOff>67349</xdr:rowOff>
    </xdr:from>
    <xdr:to>
      <xdr:col>5</xdr:col>
      <xdr:colOff>97691</xdr:colOff>
      <xdr:row>27</xdr:row>
      <xdr:rowOff>73270</xdr:rowOff>
    </xdr:to>
    <mc:AlternateContent xmlns:mc="http://schemas.openxmlformats.org/markup-compatibility/2006" xmlns:a14="http://schemas.microsoft.com/office/drawing/2010/main">
      <mc:Choice Requires="a14">
        <xdr:graphicFrame macro="">
          <xdr:nvGraphicFramePr>
            <xdr:cNvPr id="68" name="Staff role 1">
              <a:extLst>
                <a:ext uri="{FF2B5EF4-FFF2-40B4-BE49-F238E27FC236}">
                  <a16:creationId xmlns:a16="http://schemas.microsoft.com/office/drawing/2014/main" id="{D9FEEA0C-B6DE-4ACC-9EC1-FB0C5A069D48}"/>
                </a:ext>
              </a:extLst>
            </xdr:cNvPr>
            <xdr:cNvGraphicFramePr/>
          </xdr:nvGraphicFramePr>
          <xdr:xfrm>
            <a:off x="0" y="0"/>
            <a:ext cx="0" cy="0"/>
          </xdr:xfrm>
          <a:graphic>
            <a:graphicData uri="http://schemas.microsoft.com/office/drawing/2010/slicer">
              <sle:slicer xmlns:sle="http://schemas.microsoft.com/office/drawing/2010/slicer" name="Staff role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18697" y="5010052"/>
              <a:ext cx="2968183" cy="5722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216848</xdr:colOff>
      <xdr:row>27</xdr:row>
      <xdr:rowOff>117306</xdr:rowOff>
    </xdr:from>
    <xdr:to>
      <xdr:col>5</xdr:col>
      <xdr:colOff>73269</xdr:colOff>
      <xdr:row>30</xdr:row>
      <xdr:rowOff>154680</xdr:rowOff>
    </xdr:to>
    <mc:AlternateContent xmlns:mc="http://schemas.openxmlformats.org/markup-compatibility/2006" xmlns:a14="http://schemas.microsoft.com/office/drawing/2010/main">
      <mc:Choice Requires="a14">
        <xdr:graphicFrame macro="">
          <xdr:nvGraphicFramePr>
            <xdr:cNvPr id="69" name="Monthly payroll 1">
              <a:extLst>
                <a:ext uri="{FF2B5EF4-FFF2-40B4-BE49-F238E27FC236}">
                  <a16:creationId xmlns:a16="http://schemas.microsoft.com/office/drawing/2014/main" id="{28759229-B13D-4257-BFD3-917ACCA7F732}"/>
                </a:ext>
              </a:extLst>
            </xdr:cNvPr>
            <xdr:cNvGraphicFramePr/>
          </xdr:nvGraphicFramePr>
          <xdr:xfrm>
            <a:off x="0" y="0"/>
            <a:ext cx="0" cy="0"/>
          </xdr:xfrm>
          <a:graphic>
            <a:graphicData uri="http://schemas.microsoft.com/office/drawing/2010/slicer">
              <sle:slicer xmlns:sle="http://schemas.microsoft.com/office/drawing/2010/slicer" name="Monthly payroll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216848" y="5626360"/>
              <a:ext cx="2945610" cy="603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195014</xdr:colOff>
      <xdr:row>31</xdr:row>
      <xdr:rowOff>17764</xdr:rowOff>
    </xdr:from>
    <xdr:to>
      <xdr:col>5</xdr:col>
      <xdr:colOff>89550</xdr:colOff>
      <xdr:row>34</xdr:row>
      <xdr:rowOff>1303</xdr:rowOff>
    </xdr:to>
    <mc:AlternateContent xmlns:mc="http://schemas.openxmlformats.org/markup-compatibility/2006" xmlns:a14="http://schemas.microsoft.com/office/drawing/2010/main">
      <mc:Choice Requires="a14">
        <xdr:graphicFrame macro="">
          <xdr:nvGraphicFramePr>
            <xdr:cNvPr id="70" name="Overtime  1">
              <a:extLst>
                <a:ext uri="{FF2B5EF4-FFF2-40B4-BE49-F238E27FC236}">
                  <a16:creationId xmlns:a16="http://schemas.microsoft.com/office/drawing/2014/main" id="{5CA39DA0-9A21-4075-ABF2-3F5D94B701C1}"/>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95014" y="6281953"/>
              <a:ext cx="2983725" cy="5498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195384</xdr:colOff>
      <xdr:row>34</xdr:row>
      <xdr:rowOff>32566</xdr:rowOff>
    </xdr:from>
    <xdr:to>
      <xdr:col>5</xdr:col>
      <xdr:colOff>81410</xdr:colOff>
      <xdr:row>37</xdr:row>
      <xdr:rowOff>32565</xdr:rowOff>
    </xdr:to>
    <mc:AlternateContent xmlns:mc="http://schemas.openxmlformats.org/markup-compatibility/2006" xmlns:a14="http://schemas.microsoft.com/office/drawing/2010/main">
      <mc:Choice Requires="a14">
        <xdr:graphicFrame macro="">
          <xdr:nvGraphicFramePr>
            <xdr:cNvPr id="71" name="Overtime pay 1">
              <a:extLst>
                <a:ext uri="{FF2B5EF4-FFF2-40B4-BE49-F238E27FC236}">
                  <a16:creationId xmlns:a16="http://schemas.microsoft.com/office/drawing/2014/main" id="{ACCCE31F-E2EF-4C8A-BF6F-FFFD61A2EA81}"/>
                </a:ext>
              </a:extLst>
            </xdr:cNvPr>
            <xdr:cNvGraphicFramePr/>
          </xdr:nvGraphicFramePr>
          <xdr:xfrm>
            <a:off x="0" y="0"/>
            <a:ext cx="0" cy="0"/>
          </xdr:xfrm>
          <a:graphic>
            <a:graphicData uri="http://schemas.microsoft.com/office/drawing/2010/slicer">
              <sle:slicer xmlns:sle="http://schemas.microsoft.com/office/drawing/2010/slicer" name="Overtime pay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195384" y="6863107"/>
              <a:ext cx="2975215" cy="566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313932</xdr:colOff>
      <xdr:row>28</xdr:row>
      <xdr:rowOff>174865</xdr:rowOff>
    </xdr:from>
    <xdr:to>
      <xdr:col>8</xdr:col>
      <xdr:colOff>1092233</xdr:colOff>
      <xdr:row>32</xdr:row>
      <xdr:rowOff>99888</xdr:rowOff>
    </xdr:to>
    <xdr:sp macro="" textlink="">
      <xdr:nvSpPr>
        <xdr:cNvPr id="73" name="TextBox 72">
          <a:extLst>
            <a:ext uri="{FF2B5EF4-FFF2-40B4-BE49-F238E27FC236}">
              <a16:creationId xmlns:a16="http://schemas.microsoft.com/office/drawing/2014/main" id="{1984686D-FD4C-38F4-DFF7-AEF125F6CED8}"/>
            </a:ext>
          </a:extLst>
        </xdr:cNvPr>
        <xdr:cNvSpPr txBox="1"/>
      </xdr:nvSpPr>
      <xdr:spPr>
        <a:xfrm>
          <a:off x="5129943" y="5797112"/>
          <a:ext cx="1941279" cy="667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Staff Role</a:t>
          </a:r>
        </a:p>
      </xdr:txBody>
    </xdr:sp>
    <xdr:clientData/>
  </xdr:twoCellAnchor>
  <xdr:twoCellAnchor>
    <xdr:from>
      <xdr:col>9</xdr:col>
      <xdr:colOff>1520151</xdr:colOff>
      <xdr:row>18</xdr:row>
      <xdr:rowOff>165275</xdr:rowOff>
    </xdr:from>
    <xdr:to>
      <xdr:col>10</xdr:col>
      <xdr:colOff>240530</xdr:colOff>
      <xdr:row>26</xdr:row>
      <xdr:rowOff>134698</xdr:rowOff>
    </xdr:to>
    <xdr:sp macro="" textlink="">
      <xdr:nvSpPr>
        <xdr:cNvPr id="74" name="TextBox 73">
          <a:extLst>
            <a:ext uri="{FF2B5EF4-FFF2-40B4-BE49-F238E27FC236}">
              <a16:creationId xmlns:a16="http://schemas.microsoft.com/office/drawing/2014/main" id="{64A72BFF-1BE8-A2EB-2E7C-B432AB9D5D28}"/>
            </a:ext>
          </a:extLst>
        </xdr:cNvPr>
        <xdr:cNvSpPr txBox="1"/>
      </xdr:nvSpPr>
      <xdr:spPr>
        <a:xfrm>
          <a:off x="9148850" y="3940480"/>
          <a:ext cx="300630" cy="145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GB" sz="1200" b="1"/>
            <a:t>Monthly Payroll (£)</a:t>
          </a:r>
        </a:p>
      </xdr:txBody>
    </xdr:sp>
    <xdr:clientData/>
  </xdr:twoCellAnchor>
  <xdr:twoCellAnchor>
    <xdr:from>
      <xdr:col>10</xdr:col>
      <xdr:colOff>1427114</xdr:colOff>
      <xdr:row>31</xdr:row>
      <xdr:rowOff>65464</xdr:rowOff>
    </xdr:from>
    <xdr:to>
      <xdr:col>11</xdr:col>
      <xdr:colOff>1256907</xdr:colOff>
      <xdr:row>32</xdr:row>
      <xdr:rowOff>130928</xdr:rowOff>
    </xdr:to>
    <xdr:sp macro="" textlink="">
      <xdr:nvSpPr>
        <xdr:cNvPr id="75" name="TextBox 74">
          <a:extLst>
            <a:ext uri="{FF2B5EF4-FFF2-40B4-BE49-F238E27FC236}">
              <a16:creationId xmlns:a16="http://schemas.microsoft.com/office/drawing/2014/main" id="{CF0EA17B-3227-6214-6A40-181027DBA2B1}"/>
            </a:ext>
          </a:extLst>
        </xdr:cNvPr>
        <xdr:cNvSpPr txBox="1"/>
      </xdr:nvSpPr>
      <xdr:spPr>
        <a:xfrm>
          <a:off x="10637887" y="6179794"/>
          <a:ext cx="1682422" cy="248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200" b="1"/>
            <a:t>Employee ID</a:t>
          </a:r>
        </a:p>
      </xdr:txBody>
    </xdr:sp>
    <xdr:clientData/>
  </xdr:twoCellAnchor>
  <xdr:twoCellAnchor>
    <xdr:from>
      <xdr:col>14</xdr:col>
      <xdr:colOff>617559</xdr:colOff>
      <xdr:row>30</xdr:row>
      <xdr:rowOff>170221</xdr:rowOff>
    </xdr:from>
    <xdr:to>
      <xdr:col>15</xdr:col>
      <xdr:colOff>935814</xdr:colOff>
      <xdr:row>32</xdr:row>
      <xdr:rowOff>48441</xdr:rowOff>
    </xdr:to>
    <xdr:sp macro="" textlink="">
      <xdr:nvSpPr>
        <xdr:cNvPr id="76" name="TextBox 75">
          <a:extLst>
            <a:ext uri="{FF2B5EF4-FFF2-40B4-BE49-F238E27FC236}">
              <a16:creationId xmlns:a16="http://schemas.microsoft.com/office/drawing/2014/main" id="{B10B0D58-254E-4774-842D-6D4AA37185C5}"/>
            </a:ext>
          </a:extLst>
        </xdr:cNvPr>
        <xdr:cNvSpPr txBox="1"/>
      </xdr:nvSpPr>
      <xdr:spPr>
        <a:xfrm>
          <a:off x="15702880" y="6227144"/>
          <a:ext cx="1685947" cy="25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GB" sz="1200" b="1"/>
            <a:t>Overtime</a:t>
          </a:r>
        </a:p>
      </xdr:txBody>
    </xdr: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_rels/pivotCacheDefinition2.xml.rels><?xml version="1.0" encoding="UTF-8" standalone="yes"?>
<Relationships xmlns="http://schemas.openxmlformats.org/package/2006/relationships"><Relationship Id="rId1" Type="http://purl.oclc.org/ooxml/officeDocument/relationships/pivotCacheRecords" Target="pivotCacheRecords2.xml"/></Relationships>
</file>

<file path=xl/pivotCache/_rels/pivotCacheDefinition3.xml.rels><?xml version="1.0" encoding="UTF-8" standalone="yes"?>
<Relationships xmlns="http://schemas.openxmlformats.org/package/2006/relationships"><Relationship Id="rId1" Type="http://purl.oclc.org/ooxml/officeDocument/relationships/pivotCacheRecords" Target="pivotCacheRecords3.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dmin" refreshedDateIso="2026-06-09T22:17:20.92000003438442775" createdVersion="8" refreshedVersion="8" minRefreshableVersion="3" recordCount="16" xr:uid="{701EAAE3-C73B-450F-AC38-B2BA0DBBB6C1}">
  <cacheSource type="worksheet">
    <worksheetSource ref="G35:O51" sheet="Dashboard"/>
  </cacheSource>
  <cacheFields count="9">
    <cacheField name="Employee ID" numFmtId="0">
      <sharedItems count="16">
        <s v="Fatima Beatriz"/>
        <s v="Eric Hanna "/>
        <s v="Ali Diya"/>
        <s v="Charles Gabriel"/>
        <s v="Hanna Ruth"/>
        <s v="Ruby Eden"/>
        <s v="Wren Leia"/>
        <s v="Iris Vera"/>
        <s v="Cora Nyla "/>
        <s v="Isreal Adesanya"/>
        <s v="Ayla Lola"/>
        <s v="Remi Evie"/>
        <s v="Sage Lena"/>
        <s v="June Jane"/>
        <s v="Myla Thea"/>
        <s v="Kaia Esme"/>
      </sharedItems>
    </cacheField>
    <cacheField name="Age" numFmtId="0">
      <sharedItems containsSemiMixedTypes="0" containsString="0" containsNumber="1" containsInteger="1" minValue="16" maxValue="43" count="13">
        <n v="40"/>
        <n v="26"/>
        <n v="19"/>
        <n v="34"/>
        <n v="24"/>
        <n v="42"/>
        <n v="43"/>
        <n v="17"/>
        <n v="27"/>
        <n v="16"/>
        <n v="23"/>
        <n v="30"/>
        <n v="25"/>
      </sharedItems>
    </cacheField>
    <cacheField name="Shift scheduling" numFmtId="0">
      <sharedItems containsSemiMixedTypes="0" containsString="0" containsNumber="1" containsInteger="1" minValue="26" maxValue="56" count="7">
        <n v="42"/>
        <n v="26"/>
        <n v="32"/>
        <n v="29"/>
        <n v="34"/>
        <n v="36"/>
        <n v="56"/>
      </sharedItems>
    </cacheField>
    <cacheField name="Staff role" numFmtId="0">
      <sharedItems count="7">
        <s v="Manager"/>
        <s v="Assistant Manager"/>
        <s v="Chef"/>
        <s v="Cleaner"/>
        <s v="Attendant"/>
        <s v="Steward"/>
        <s v="Security"/>
      </sharedItems>
    </cacheField>
    <cacheField name="Hourly pay" numFmtId="164">
      <sharedItems containsSemiMixedTypes="0" containsString="0" containsNumber="1" minValue="12.21" maxValue="16.5" count="7">
        <n v="16.5"/>
        <n v="15.5"/>
        <n v="15"/>
        <n v="12.21"/>
        <n v="13"/>
        <n v="12.5"/>
        <n v="13.97"/>
      </sharedItems>
    </cacheField>
    <cacheField name="Weekly Pay" numFmtId="164">
      <sharedItems containsSemiMixedTypes="0" containsString="0" containsNumber="1" minValue="317.46000000000004" maxValue="782.32" count="13">
        <n v="693"/>
        <n v="403"/>
        <n v="390"/>
        <n v="480"/>
        <n v="317.46000000000004"/>
        <n v="377"/>
        <n v="338"/>
        <n v="442"/>
        <n v="468"/>
        <n v="325"/>
        <n v="586.74"/>
        <n v="363.22"/>
        <n v="782.32"/>
      </sharedItems>
    </cacheField>
    <cacheField name="Overtime " numFmtId="0">
      <sharedItems containsString="0" containsBlank="1" containsNumber="1" minValue="0.25" maxValue="12" count="9">
        <n v="0.25"/>
        <n v="1"/>
        <n v="4"/>
        <n v="3"/>
        <n v="2"/>
        <m/>
        <n v="7"/>
        <n v="12"/>
        <n v="5"/>
      </sharedItems>
    </cacheField>
    <cacheField name="Overtime pay" numFmtId="164">
      <sharedItems containsSemiMixedTypes="0" containsString="0" containsNumber="1" minValue="0" maxValue="234" count="12">
        <n v="6.1875"/>
        <n v="23.25"/>
        <n v="90"/>
        <n v="67.5"/>
        <n v="36.630000000000003"/>
        <n v="0"/>
        <n v="58.5"/>
        <n v="136.5"/>
        <n v="234"/>
        <n v="37.5"/>
        <n v="41.910000000000004"/>
        <n v="104.77500000000001"/>
      </sharedItems>
    </cacheField>
    <cacheField name="Monthly payroll" numFmtId="164">
      <sharedItems containsSemiMixedTypes="0" containsString="0" containsNumber="1" minValue="1374.6018000000001" maxValue="3841.1213500000003" count="15">
        <n v="3027.4818749999999"/>
        <n v="1845.6625000000001"/>
        <n v="2078.4"/>
        <n v="2370.6750000000002"/>
        <n v="1533.2097000000001"/>
        <n v="1374.6018000000001"/>
        <n v="1632.41"/>
        <n v="1716.845"/>
        <n v="2504.9050000000002"/>
        <n v="3039.66"/>
        <n v="1407.25"/>
        <n v="1569.625"/>
        <n v="2540.5842000000002"/>
        <n v="1754.2129000000002"/>
        <n v="3841.1213500000003"/>
      </sharedItems>
    </cacheField>
  </cacheFields>
  <extLst>
    <ext xmlns:x14="http://schemas.microsoft.com/office/spreadsheetml/2009/9/main" uri="{725AE2AE-9491-48be-B2B4-4EB974FC3084}">
      <x14:pivotCacheDefinition pivotCacheId="1718531692"/>
    </ext>
  </extLst>
</pivotCacheDefinition>
</file>

<file path=xl/pivotCache/pivotCacheDefinition2.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dmin" refreshedDateIso="2026-06-12T22:47:48.88900024350732375" createdVersion="8" refreshedVersion="8" minRefreshableVersion="3" recordCount="16" xr:uid="{BD94760C-3576-4F01-8B61-A120A3D6FFB3}">
  <cacheSource type="worksheet">
    <worksheetSource ref="G35:O51" sheet="Dashboard"/>
  </cacheSource>
  <cacheFields count="9">
    <cacheField name="Employee ID" numFmtId="0">
      <sharedItems count="16">
        <s v="Fatima Beatriz"/>
        <s v="Eric Hanna "/>
        <s v="Ali Diya"/>
        <s v="Charles Gabriel"/>
        <s v="Hanna Ruth"/>
        <s v="Ruby Eden"/>
        <s v="Wren Leia"/>
        <s v="Iris Vera"/>
        <s v="Cora Nyla "/>
        <s v="Isreal Adesanya"/>
        <s v="Ayla Lola"/>
        <s v="Remi Evie"/>
        <s v="Sage Lena"/>
        <s v="June Jane"/>
        <s v="Myla Thea"/>
        <s v="Kaia Esme"/>
      </sharedItems>
    </cacheField>
    <cacheField name="Age" numFmtId="0">
      <sharedItems containsSemiMixedTypes="0" containsString="0" containsNumber="1" containsInteger="1" minValue="16" maxValue="43"/>
    </cacheField>
    <cacheField name="Shift scheduling" numFmtId="0">
      <sharedItems containsSemiMixedTypes="0" containsString="0" containsNumber="1" containsInteger="1" minValue="26" maxValue="56"/>
    </cacheField>
    <cacheField name="Staff role" numFmtId="0">
      <sharedItems count="7">
        <s v="Manager"/>
        <s v="Assistant Manager"/>
        <s v="Chef"/>
        <s v="Cleaner"/>
        <s v="Attendant"/>
        <s v="Steward"/>
        <s v="Security"/>
      </sharedItems>
    </cacheField>
    <cacheField name="Hourly pay" numFmtId="164">
      <sharedItems containsSemiMixedTypes="0" containsString="0" containsNumber="1" minValue="12.21" maxValue="16.5"/>
    </cacheField>
    <cacheField name="Weekly Pay" numFmtId="164">
      <sharedItems containsSemiMixedTypes="0" containsString="0" containsNumber="1" minValue="317.46000000000004" maxValue="782.32"/>
    </cacheField>
    <cacheField name="Overtime " numFmtId="0">
      <sharedItems containsString="0" containsBlank="1" containsNumber="1" minValue="0.25" maxValue="12"/>
    </cacheField>
    <cacheField name="Overtime pay" numFmtId="164">
      <sharedItems containsSemiMixedTypes="0" containsString="0" containsNumber="1" minValue="0" maxValue="234"/>
    </cacheField>
    <cacheField name="Monthly payroll" numFmtId="164">
      <sharedItems containsSemiMixedTypes="0" containsString="0" containsNumber="1" minValue="1374.6018000000001" maxValue="3841.121350000000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dmin" refreshedDateIso="2026-06-12T22:58:51.60000031348318050" createdVersion="8" refreshedVersion="8" minRefreshableVersion="3" recordCount="16" xr:uid="{3CEC64B7-9A17-4E9F-A701-71E717BFD3E3}">
  <cacheSource type="worksheet">
    <worksheetSource ref="G35:O51" sheet="Dashboard"/>
  </cacheSource>
  <cacheFields count="9">
    <cacheField name="Employee ID" numFmtId="0">
      <sharedItems count="16">
        <s v="Fatima Beatriz"/>
        <s v="Eric Hanna "/>
        <s v="Ali Diya"/>
        <s v="Charles Gabriel"/>
        <s v="Hanna Ruth"/>
        <s v="Ruby Eden"/>
        <s v="Wren Leia"/>
        <s v="Iris Vera"/>
        <s v="Cora Nyla "/>
        <s v="Isreal Adesanya"/>
        <s v="Ayla Lola"/>
        <s v="Remi Evie"/>
        <s v="Sage Lena"/>
        <s v="June Jane"/>
        <s v="Myla Thea"/>
        <s v="Kaia Esme"/>
      </sharedItems>
    </cacheField>
    <cacheField name="Age" numFmtId="0">
      <sharedItems containsSemiMixedTypes="0" containsString="0" containsNumber="1" containsInteger="1" minValue="16" maxValue="43"/>
    </cacheField>
    <cacheField name="Shift scheduling" numFmtId="0">
      <sharedItems containsSemiMixedTypes="0" containsString="0" containsNumber="1" containsInteger="1" minValue="26" maxValue="56"/>
    </cacheField>
    <cacheField name="Staff role" numFmtId="0">
      <sharedItems count="7">
        <s v="Manager"/>
        <s v="Assistant Manager"/>
        <s v="Chef"/>
        <s v="Cleaner"/>
        <s v="Attendant"/>
        <s v="Steward"/>
        <s v="Security"/>
      </sharedItems>
    </cacheField>
    <cacheField name="Hourly pay" numFmtId="164">
      <sharedItems containsSemiMixedTypes="0" containsString="0" containsNumber="1" minValue="12.21" maxValue="16.5"/>
    </cacheField>
    <cacheField name="Weekly Pay" numFmtId="164">
      <sharedItems containsSemiMixedTypes="0" containsString="0" containsNumber="1" minValue="317.46000000000004" maxValue="782.32"/>
    </cacheField>
    <cacheField name="Overtime " numFmtId="0">
      <sharedItems containsString="0" containsBlank="1" containsNumber="1" minValue="0.25" maxValue="12"/>
    </cacheField>
    <cacheField name="Overtime pay" numFmtId="164">
      <sharedItems containsSemiMixedTypes="0" containsString="0" containsNumber="1" minValue="0" maxValue="234"/>
    </cacheField>
    <cacheField name="Monthly payroll" numFmtId="164">
      <sharedItems containsSemiMixedTypes="0" containsString="0" containsNumber="1" minValue="1374.6018000000001" maxValue="3841.12135000000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
  <r>
    <x v="0"/>
    <x v="0"/>
    <x v="0"/>
    <x v="0"/>
    <x v="0"/>
    <x v="0"/>
    <x v="0"/>
    <x v="0"/>
    <x v="0"/>
  </r>
  <r>
    <x v="1"/>
    <x v="1"/>
    <x v="1"/>
    <x v="1"/>
    <x v="1"/>
    <x v="1"/>
    <x v="1"/>
    <x v="1"/>
    <x v="1"/>
  </r>
  <r>
    <x v="2"/>
    <x v="2"/>
    <x v="1"/>
    <x v="2"/>
    <x v="2"/>
    <x v="2"/>
    <x v="2"/>
    <x v="2"/>
    <x v="2"/>
  </r>
  <r>
    <x v="3"/>
    <x v="3"/>
    <x v="2"/>
    <x v="2"/>
    <x v="2"/>
    <x v="3"/>
    <x v="3"/>
    <x v="3"/>
    <x v="3"/>
  </r>
  <r>
    <x v="4"/>
    <x v="4"/>
    <x v="1"/>
    <x v="3"/>
    <x v="3"/>
    <x v="4"/>
    <x v="4"/>
    <x v="4"/>
    <x v="4"/>
  </r>
  <r>
    <x v="5"/>
    <x v="5"/>
    <x v="1"/>
    <x v="3"/>
    <x v="3"/>
    <x v="4"/>
    <x v="5"/>
    <x v="5"/>
    <x v="5"/>
  </r>
  <r>
    <x v="6"/>
    <x v="6"/>
    <x v="3"/>
    <x v="4"/>
    <x v="4"/>
    <x v="5"/>
    <x v="5"/>
    <x v="5"/>
    <x v="6"/>
  </r>
  <r>
    <x v="7"/>
    <x v="7"/>
    <x v="1"/>
    <x v="4"/>
    <x v="4"/>
    <x v="6"/>
    <x v="3"/>
    <x v="6"/>
    <x v="7"/>
  </r>
  <r>
    <x v="8"/>
    <x v="8"/>
    <x v="4"/>
    <x v="4"/>
    <x v="4"/>
    <x v="7"/>
    <x v="6"/>
    <x v="7"/>
    <x v="8"/>
  </r>
  <r>
    <x v="9"/>
    <x v="3"/>
    <x v="5"/>
    <x v="4"/>
    <x v="4"/>
    <x v="8"/>
    <x v="7"/>
    <x v="8"/>
    <x v="9"/>
  </r>
  <r>
    <x v="10"/>
    <x v="9"/>
    <x v="1"/>
    <x v="5"/>
    <x v="5"/>
    <x v="9"/>
    <x v="5"/>
    <x v="5"/>
    <x v="10"/>
  </r>
  <r>
    <x v="11"/>
    <x v="9"/>
    <x v="1"/>
    <x v="5"/>
    <x v="5"/>
    <x v="9"/>
    <x v="5"/>
    <x v="5"/>
    <x v="10"/>
  </r>
  <r>
    <x v="12"/>
    <x v="10"/>
    <x v="1"/>
    <x v="5"/>
    <x v="5"/>
    <x v="9"/>
    <x v="4"/>
    <x v="9"/>
    <x v="11"/>
  </r>
  <r>
    <x v="13"/>
    <x v="11"/>
    <x v="0"/>
    <x v="6"/>
    <x v="6"/>
    <x v="10"/>
    <x v="5"/>
    <x v="5"/>
    <x v="12"/>
  </r>
  <r>
    <x v="14"/>
    <x v="12"/>
    <x v="1"/>
    <x v="6"/>
    <x v="6"/>
    <x v="11"/>
    <x v="4"/>
    <x v="10"/>
    <x v="13"/>
  </r>
  <r>
    <x v="15"/>
    <x v="4"/>
    <x v="6"/>
    <x v="6"/>
    <x v="6"/>
    <x v="12"/>
    <x v="8"/>
    <x v="11"/>
    <x v="14"/>
  </r>
</pivotCacheRecords>
</file>

<file path=xl/pivotCache/pivotCacheRecords2.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
  <r>
    <x v="0"/>
    <n v="40"/>
    <n v="42"/>
    <x v="0"/>
    <n v="16.5"/>
    <n v="693"/>
    <n v="0.25"/>
    <n v="6.1875"/>
    <n v="3027.4818749999999"/>
  </r>
  <r>
    <x v="1"/>
    <n v="26"/>
    <n v="26"/>
    <x v="1"/>
    <n v="15.5"/>
    <n v="403"/>
    <n v="1"/>
    <n v="23.25"/>
    <n v="1845.6625000000001"/>
  </r>
  <r>
    <x v="2"/>
    <n v="19"/>
    <n v="26"/>
    <x v="2"/>
    <n v="15"/>
    <n v="390"/>
    <n v="4"/>
    <n v="90"/>
    <n v="2078.4"/>
  </r>
  <r>
    <x v="3"/>
    <n v="34"/>
    <n v="32"/>
    <x v="2"/>
    <n v="15"/>
    <n v="480"/>
    <n v="3"/>
    <n v="67.5"/>
    <n v="2370.6750000000002"/>
  </r>
  <r>
    <x v="4"/>
    <n v="24"/>
    <n v="26"/>
    <x v="3"/>
    <n v="12.21"/>
    <n v="317.46000000000004"/>
    <n v="2"/>
    <n v="36.630000000000003"/>
    <n v="1533.2097000000001"/>
  </r>
  <r>
    <x v="5"/>
    <n v="42"/>
    <n v="26"/>
    <x v="3"/>
    <n v="12.21"/>
    <n v="317.46000000000004"/>
    <m/>
    <n v="0"/>
    <n v="1374.6018000000001"/>
  </r>
  <r>
    <x v="6"/>
    <n v="43"/>
    <n v="29"/>
    <x v="4"/>
    <n v="13"/>
    <n v="377"/>
    <m/>
    <n v="0"/>
    <n v="1632.41"/>
  </r>
  <r>
    <x v="7"/>
    <n v="17"/>
    <n v="26"/>
    <x v="4"/>
    <n v="13"/>
    <n v="338"/>
    <n v="3"/>
    <n v="58.5"/>
    <n v="1716.845"/>
  </r>
  <r>
    <x v="8"/>
    <n v="27"/>
    <n v="34"/>
    <x v="4"/>
    <n v="13"/>
    <n v="442"/>
    <n v="7"/>
    <n v="136.5"/>
    <n v="2504.9050000000002"/>
  </r>
  <r>
    <x v="9"/>
    <n v="34"/>
    <n v="36"/>
    <x v="4"/>
    <n v="13"/>
    <n v="468"/>
    <n v="12"/>
    <n v="234"/>
    <n v="3039.66"/>
  </r>
  <r>
    <x v="10"/>
    <n v="16"/>
    <n v="26"/>
    <x v="5"/>
    <n v="12.5"/>
    <n v="325"/>
    <m/>
    <n v="0"/>
    <n v="1407.25"/>
  </r>
  <r>
    <x v="11"/>
    <n v="16"/>
    <n v="26"/>
    <x v="5"/>
    <n v="12.5"/>
    <n v="325"/>
    <m/>
    <n v="0"/>
    <n v="1407.25"/>
  </r>
  <r>
    <x v="12"/>
    <n v="23"/>
    <n v="26"/>
    <x v="5"/>
    <n v="12.5"/>
    <n v="325"/>
    <n v="2"/>
    <n v="37.5"/>
    <n v="1569.625"/>
  </r>
  <r>
    <x v="13"/>
    <n v="30"/>
    <n v="42"/>
    <x v="6"/>
    <n v="13.97"/>
    <n v="586.74"/>
    <m/>
    <n v="0"/>
    <n v="2540.5842000000002"/>
  </r>
  <r>
    <x v="14"/>
    <n v="25"/>
    <n v="26"/>
    <x v="6"/>
    <n v="13.97"/>
    <n v="363.22"/>
    <n v="2"/>
    <n v="41.910000000000004"/>
    <n v="1754.2129000000002"/>
  </r>
  <r>
    <x v="15"/>
    <n v="24"/>
    <n v="56"/>
    <x v="6"/>
    <n v="13.97"/>
    <n v="782.32"/>
    <n v="5"/>
    <n v="104.77500000000001"/>
    <n v="3841.1213500000003"/>
  </r>
</pivotCacheRecords>
</file>

<file path=xl/pivotCache/pivotCacheRecords3.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
  <r>
    <x v="0"/>
    <n v="40"/>
    <n v="42"/>
    <x v="0"/>
    <n v="16.5"/>
    <n v="693"/>
    <n v="0.25"/>
    <n v="6.1875"/>
    <n v="3027.4818749999999"/>
  </r>
  <r>
    <x v="1"/>
    <n v="26"/>
    <n v="26"/>
    <x v="1"/>
    <n v="15.5"/>
    <n v="403"/>
    <n v="1"/>
    <n v="23.25"/>
    <n v="1845.6625000000001"/>
  </r>
  <r>
    <x v="2"/>
    <n v="19"/>
    <n v="26"/>
    <x v="2"/>
    <n v="15"/>
    <n v="390"/>
    <n v="4"/>
    <n v="90"/>
    <n v="2078.4"/>
  </r>
  <r>
    <x v="3"/>
    <n v="34"/>
    <n v="32"/>
    <x v="2"/>
    <n v="15"/>
    <n v="480"/>
    <n v="3"/>
    <n v="67.5"/>
    <n v="2370.6750000000002"/>
  </r>
  <r>
    <x v="4"/>
    <n v="24"/>
    <n v="26"/>
    <x v="3"/>
    <n v="12.21"/>
    <n v="317.46000000000004"/>
    <n v="2"/>
    <n v="36.630000000000003"/>
    <n v="1533.2097000000001"/>
  </r>
  <r>
    <x v="5"/>
    <n v="42"/>
    <n v="26"/>
    <x v="3"/>
    <n v="12.21"/>
    <n v="317.46000000000004"/>
    <m/>
    <n v="0"/>
    <n v="1374.6018000000001"/>
  </r>
  <r>
    <x v="6"/>
    <n v="43"/>
    <n v="29"/>
    <x v="4"/>
    <n v="13"/>
    <n v="377"/>
    <m/>
    <n v="0"/>
    <n v="1632.41"/>
  </r>
  <r>
    <x v="7"/>
    <n v="17"/>
    <n v="26"/>
    <x v="4"/>
    <n v="13"/>
    <n v="338"/>
    <n v="3"/>
    <n v="58.5"/>
    <n v="1716.845"/>
  </r>
  <r>
    <x v="8"/>
    <n v="27"/>
    <n v="34"/>
    <x v="4"/>
    <n v="13"/>
    <n v="442"/>
    <n v="7"/>
    <n v="136.5"/>
    <n v="2504.9050000000002"/>
  </r>
  <r>
    <x v="9"/>
    <n v="34"/>
    <n v="36"/>
    <x v="4"/>
    <n v="13"/>
    <n v="468"/>
    <n v="12"/>
    <n v="234"/>
    <n v="3039.66"/>
  </r>
  <r>
    <x v="10"/>
    <n v="16"/>
    <n v="26"/>
    <x v="5"/>
    <n v="12.5"/>
    <n v="325"/>
    <m/>
    <n v="0"/>
    <n v="1407.25"/>
  </r>
  <r>
    <x v="11"/>
    <n v="16"/>
    <n v="26"/>
    <x v="5"/>
    <n v="12.5"/>
    <n v="325"/>
    <m/>
    <n v="0"/>
    <n v="1407.25"/>
  </r>
  <r>
    <x v="12"/>
    <n v="23"/>
    <n v="26"/>
    <x v="5"/>
    <n v="12.5"/>
    <n v="325"/>
    <n v="2"/>
    <n v="37.5"/>
    <n v="1569.625"/>
  </r>
  <r>
    <x v="13"/>
    <n v="30"/>
    <n v="42"/>
    <x v="6"/>
    <n v="13.97"/>
    <n v="586.74"/>
    <m/>
    <n v="0"/>
    <n v="2540.5842000000002"/>
  </r>
  <r>
    <x v="14"/>
    <n v="25"/>
    <n v="26"/>
    <x v="6"/>
    <n v="13.97"/>
    <n v="363.22"/>
    <n v="2"/>
    <n v="41.910000000000004"/>
    <n v="1754.2129000000002"/>
  </r>
  <r>
    <x v="15"/>
    <n v="24"/>
    <n v="56"/>
    <x v="6"/>
    <n v="13.97"/>
    <n v="782.32"/>
    <n v="5"/>
    <n v="104.77500000000001"/>
    <n v="3841.121350000000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2.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3.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0FA7F872-C28F-4053-8E03-74B443CA0CEE}"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A3:B10" firstHeaderRow="1" firstDataRow="1" firstDataCol="1"/>
  <pivotFields count="9">
    <pivotField compact="0" outline="0" showAll="0" defaultSubtotal="0">
      <items count="16">
        <item x="2"/>
        <item x="10"/>
        <item x="3"/>
        <item x="8"/>
        <item x="1"/>
        <item x="0"/>
        <item x="4"/>
        <item x="7"/>
        <item x="9"/>
        <item x="13"/>
        <item x="15"/>
        <item x="14"/>
        <item x="11"/>
        <item x="5"/>
        <item x="1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1"/>
        <item x="3"/>
        <item x="2"/>
        <item x="4"/>
        <item x="5"/>
        <item x="0"/>
        <item x="6"/>
      </items>
      <extLst>
        <ext xmlns:x14="http://schemas.microsoft.com/office/spreadsheetml/2009/9/main" uri="{2946ED86-A175-432a-8AC1-64E0C546D7DE}">
          <x14:pivotField fillDownLabels="1"/>
        </ext>
      </extLst>
    </pivotField>
    <pivotField axis="axisRow" dataField="1" compact="0" outline="0" showAll="0" defaultSubtotal="0">
      <items count="7">
        <item x="1"/>
        <item x="4"/>
        <item x="2"/>
        <item x="3"/>
        <item x="0"/>
        <item x="6"/>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items count="9">
        <item x="0"/>
        <item x="1"/>
        <item x="4"/>
        <item x="3"/>
        <item x="2"/>
        <item x="8"/>
        <item x="6"/>
        <item x="7"/>
        <item x="5"/>
      </items>
      <extLst>
        <ext xmlns:x14="http://schemas.microsoft.com/office/spreadsheetml/2009/9/main" uri="{2946ED86-A175-432a-8AC1-64E0C546D7DE}">
          <x14:pivotField fillDownLabels="1"/>
        </ext>
      </extLst>
    </pivotField>
    <pivotField compact="0" numFmtId="164" outline="0" showAll="0" defaultSubtotal="0">
      <items count="12">
        <item x="5"/>
        <item x="0"/>
        <item x="1"/>
        <item x="4"/>
        <item x="9"/>
        <item x="10"/>
        <item x="6"/>
        <item x="3"/>
        <item x="2"/>
        <item x="11"/>
        <item x="7"/>
        <item x="8"/>
      </items>
      <extLst>
        <ext xmlns:x14="http://schemas.microsoft.com/office/spreadsheetml/2009/9/main" uri="{2946ED86-A175-432a-8AC1-64E0C546D7DE}">
          <x14:pivotField fillDownLabels="1"/>
        </ext>
      </extLst>
    </pivotField>
    <pivotField compact="0" numFmtId="164" outline="0" showAll="0" defaultSubtotal="0">
      <items count="15">
        <item x="5"/>
        <item x="10"/>
        <item x="4"/>
        <item x="11"/>
        <item x="6"/>
        <item x="7"/>
        <item x="13"/>
        <item x="1"/>
        <item x="2"/>
        <item x="3"/>
        <item x="8"/>
        <item x="12"/>
        <item x="0"/>
        <item x="9"/>
        <item x="14"/>
      </items>
      <extLst>
        <ext xmlns:x14="http://schemas.microsoft.com/office/spreadsheetml/2009/9/main" uri="{2946ED86-A175-432a-8AC1-64E0C546D7DE}">
          <x14:pivotField fillDownLabels="1"/>
        </ext>
      </extLst>
    </pivotField>
  </pivotFields>
  <rowFields count="1">
    <field x="3"/>
  </rowFields>
  <rowItems count="7">
    <i>
      <x/>
    </i>
    <i>
      <x v="1"/>
    </i>
    <i>
      <x v="2"/>
    </i>
    <i>
      <x v="3"/>
    </i>
    <i>
      <x v="4"/>
    </i>
    <i>
      <x v="5"/>
    </i>
    <i>
      <x v="6"/>
    </i>
  </rowItems>
  <colItems count="1">
    <i/>
  </colItems>
  <dataFields count="1">
    <dataField name="Count of Staff role" fld="3"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90FF115E-1A23-4D60-B11A-85D467E0E05B}"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3:B19" firstHeaderRow="1" firstDataRow="1" firstDataCol="1"/>
  <pivotFields count="9">
    <pivotField axis="axisRow" compact="0" outline="0" showAll="0" defaultSubtotal="0">
      <items count="16">
        <item x="2"/>
        <item x="10"/>
        <item x="3"/>
        <item x="8"/>
        <item x="1"/>
        <item x="0"/>
        <item x="4"/>
        <item x="7"/>
        <item x="9"/>
        <item x="13"/>
        <item x="15"/>
        <item x="14"/>
        <item x="11"/>
        <item x="5"/>
        <item x="1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1"/>
        <item x="4"/>
        <item x="2"/>
        <item x="3"/>
        <item x="0"/>
        <item x="6"/>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numFmtId="164" outline="0" showAll="0" defaultSubtotal="0">
      <extLst>
        <ext xmlns:x14="http://schemas.microsoft.com/office/spreadsheetml/2009/9/main" uri="{2946ED86-A175-432a-8AC1-64E0C546D7DE}">
          <x14:pivotField fillDownLabels="1"/>
        </ext>
      </extLst>
    </pivotField>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Monthly payroll" fld="8" baseField="0" baseItem="0" numFmtId="164"/>
  </dataFields>
  <chartFormats count="4">
    <chartFormat chart="0"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96240D56-5ED6-4937-90D8-D9A0682A7A35}" name="PivotTable3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19" firstHeaderRow="1" firstDataRow="1" firstDataCol="1"/>
  <pivotFields count="9">
    <pivotField axis="axisRow" compact="0" outline="0" showAll="0" defaultSubtotal="0">
      <items count="16">
        <item x="2"/>
        <item x="10"/>
        <item x="3"/>
        <item x="8"/>
        <item x="1"/>
        <item x="0"/>
        <item x="4"/>
        <item x="7"/>
        <item x="9"/>
        <item x="13"/>
        <item x="15"/>
        <item x="14"/>
        <item x="11"/>
        <item x="5"/>
        <item x="12"/>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1"/>
        <item x="4"/>
        <item x="2"/>
        <item x="3"/>
        <item x="0"/>
        <item x="6"/>
        <item x="5"/>
      </items>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s>
  <rowFields count="1">
    <field x="0"/>
  </rowFields>
  <rowItems count="16">
    <i>
      <x/>
    </i>
    <i>
      <x v="1"/>
    </i>
    <i>
      <x v="2"/>
    </i>
    <i>
      <x v="3"/>
    </i>
    <i>
      <x v="4"/>
    </i>
    <i>
      <x v="5"/>
    </i>
    <i>
      <x v="6"/>
    </i>
    <i>
      <x v="7"/>
    </i>
    <i>
      <x v="8"/>
    </i>
    <i>
      <x v="9"/>
    </i>
    <i>
      <x v="10"/>
    </i>
    <i>
      <x v="11"/>
    </i>
    <i>
      <x v="12"/>
    </i>
    <i>
      <x v="13"/>
    </i>
    <i>
      <x v="14"/>
    </i>
    <i>
      <x v="15"/>
    </i>
  </rowItems>
  <colItems count="1">
    <i/>
  </colItems>
  <dataFields count="1">
    <dataField name="Sum of Overtime " fld="6"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mployee_ID" xr10:uid="{DA2473B6-0429-4A2B-A017-29E714FEE3FD}" sourceName="Employee ID">
  <pivotTables>
    <pivotTable tabId="2" name="PivotTable25"/>
  </pivotTables>
  <data>
    <tabular pivotCacheId="1718531692">
      <items count="16">
        <i x="2" s="1"/>
        <i x="10" s="1"/>
        <i x="3" s="1"/>
        <i x="8" s="1"/>
        <i x="1" s="1"/>
        <i x="0" s="1"/>
        <i x="4" s="1"/>
        <i x="7" s="1"/>
        <i x="9" s="1"/>
        <i x="13" s="1"/>
        <i x="15" s="1"/>
        <i x="14" s="1"/>
        <i x="11" s="1"/>
        <i x="5" s="1"/>
        <i x="12" s="1"/>
        <i x="6"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hift_scheduling" xr10:uid="{82A93EF0-E5E1-4A2A-8DD2-08EAC4FC3C06}" sourceName="Shift scheduling">
  <pivotTables>
    <pivotTable tabId="2" name="PivotTable25"/>
  </pivotTables>
  <data>
    <tabular pivotCacheId="1718531692">
      <items count="7">
        <i x="1" s="1"/>
        <i x="3" s="1"/>
        <i x="2" s="1"/>
        <i x="4" s="1"/>
        <i x="5" s="1"/>
        <i x="0" s="1"/>
        <i x="6"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Staff_role" xr10:uid="{DA236613-B901-440B-A697-92BEC5B28224}" sourceName="Staff role">
  <pivotTables>
    <pivotTable tabId="2" name="PivotTable25"/>
  </pivotTables>
  <data>
    <tabular pivotCacheId="1718531692">
      <items count="7">
        <i x="1" s="1"/>
        <i x="4" s="1"/>
        <i x="2" s="1"/>
        <i x="3" s="1"/>
        <i x="0" s="1"/>
        <i x="6" s="1"/>
        <i x="5"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Overtime" xr10:uid="{2B4C6443-F86C-4DF4-A19F-88832302F04C}" sourceName="Overtime ">
  <pivotTables>
    <pivotTable tabId="2" name="PivotTable25"/>
  </pivotTables>
  <data>
    <tabular pivotCacheId="1718531692">
      <items count="9">
        <i x="0" s="1"/>
        <i x="1" s="1"/>
        <i x="4" s="1"/>
        <i x="3" s="1"/>
        <i x="2" s="1"/>
        <i x="8" s="1"/>
        <i x="6" s="1"/>
        <i x="7" s="1"/>
        <i x="5" s="1"/>
      </items>
    </tabular>
  </data>
</slicerCacheDefinition>
</file>

<file path=xl/slicerCaches/slicerCache5.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Overtime_pay" xr10:uid="{D2179221-7B15-4E89-87C3-CBBE4A183B63}" sourceName="Overtime pay">
  <pivotTables>
    <pivotTable tabId="2" name="PivotTable25"/>
  </pivotTables>
  <data>
    <tabular pivotCacheId="1718531692">
      <items count="12">
        <i x="5" s="1"/>
        <i x="0" s="1"/>
        <i x="1" s="1"/>
        <i x="4" s="1"/>
        <i x="9" s="1"/>
        <i x="10" s="1"/>
        <i x="6" s="1"/>
        <i x="3" s="1"/>
        <i x="2" s="1"/>
        <i x="11" s="1"/>
        <i x="7" s="1"/>
        <i x="8" s="1"/>
      </items>
    </tabular>
  </data>
</slicerCacheDefinition>
</file>

<file path=xl/slicerCaches/slicerCache6.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nthly_payroll" xr10:uid="{72C44D52-4131-44B0-91D5-90721DE91BB8}" sourceName="Monthly payroll">
  <pivotTables>
    <pivotTable tabId="2" name="PivotTable25"/>
  </pivotTables>
  <data>
    <tabular pivotCacheId="1718531692">
      <items count="15">
        <i x="5" s="1"/>
        <i x="10" s="1"/>
        <i x="4" s="1"/>
        <i x="11" s="1"/>
        <i x="6" s="1"/>
        <i x="7" s="1"/>
        <i x="13" s="1"/>
        <i x="1" s="1"/>
        <i x="2" s="1"/>
        <i x="3" s="1"/>
        <i x="8" s="1"/>
        <i x="12" s="1"/>
        <i x="0" s="1"/>
        <i x="9" s="1"/>
        <i x="14"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Employee ID" xr10:uid="{662C7B9E-9ABD-4EF2-A232-5262FE0F3539}" cache="Slicer_Employee_ID" caption="Employee ID" style="SlicerStyleLight3" rowHeight="251883"/>
  <slicer name="Shift scheduling" xr10:uid="{870E64C5-6870-4D13-9C5A-A98C9543677D}" cache="Slicer_Shift_scheduling" caption="Shift scheduling" style="SlicerStyleLight3" rowHeight="251883"/>
  <slicer name="Staff role" xr10:uid="{FFA3590D-517A-45A5-855B-0C6F7CE0F0D2}" cache="Slicer_Staff_role" caption="Staff role" style="SlicerStyleLight3" rowHeight="251883"/>
  <slicer name="Overtime " xr10:uid="{8F40F68B-E80C-4AD8-934D-7BA8A007FBBC}" cache="Slicer_Overtime" caption="Overtime " style="SlicerStyleLight2" rowHeight="251883"/>
  <slicer name="Overtime pay" xr10:uid="{06E4B690-7E71-4C1F-AA95-9008B8414C1D}" cache="Slicer_Overtime_pay" caption="Overtime pay" style="SlicerStyleLight2" rowHeight="251883"/>
  <slicer name="Monthly payroll" xr10:uid="{EBEE79F4-B43B-45BE-A260-C3E42FF59DD6}" cache="Slicer_Monthly_payroll" caption="Monthly payroll" style="SlicerStyleLight3" rowHeight="251883"/>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Employee ID 1" xr10:uid="{771A132E-4FF1-4A9C-ABE1-9B73E40611FD}" cache="Slicer_Employee_ID" caption="Employee ID" style="SlicerStyleLight3" rowHeight="251883"/>
  <slicer name="Shift scheduling 1" xr10:uid="{4EDEFAF8-A41F-44D3-9DE0-7B8E524A0D7C}" cache="Slicer_Shift_scheduling" caption="Shift scheduling" style="SlicerStyleLight3" rowHeight="251883"/>
  <slicer name="Staff role 1" xr10:uid="{69E14250-E655-4833-8BBE-8B2D5DD481F5}" cache="Slicer_Staff_role" caption="Staff role" style="SlicerStyleLight3" rowHeight="251883"/>
  <slicer name="Overtime  1" xr10:uid="{22D616DE-7A9D-4F6D-A087-0999562DCDD9}" cache="Slicer_Overtime" caption="Overtime " style="SlicerStyleLight2" rowHeight="251883"/>
  <slicer name="Overtime pay 1" xr10:uid="{69C6E583-363F-431B-B048-983F8B754544}" cache="Slicer_Overtime_pay" caption="Overtime pay" style="SlicerStyleLight2" rowHeight="251883"/>
  <slicer name="Monthly payroll 1" xr10:uid="{47380BB0-6CE2-41EA-AE73-7DC5F43BCA81}" cache="Slicer_Monthly_payroll" caption="Monthly payroll" style="SlicerStyleLight3"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purl.oclc.org/ooxml/officeDocument/relationships/drawing" Target="../drawings/drawing4.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0F543-7753-4323-AC4D-D502A53E11F0}">
  <dimension ref="A3:B10"/>
  <sheetViews>
    <sheetView workbookViewId="0">
      <selection activeCell="C15" sqref="C15"/>
    </sheetView>
  </sheetViews>
  <sheetFormatPr defaultRowHeight="14.5" x14ac:dyDescent="0.35"/>
  <cols>
    <col min="1" max="1" width="15.81640625" bestFit="1" customWidth="1"/>
    <col min="2" max="2" width="15.26953125" bestFit="1" customWidth="1"/>
  </cols>
  <sheetData>
    <row r="3" spans="1:2" x14ac:dyDescent="0.35">
      <c r="A3" s="6" t="s">
        <v>4</v>
      </c>
      <c r="B3" s="7" t="s">
        <v>33</v>
      </c>
    </row>
    <row r="4" spans="1:2" x14ac:dyDescent="0.35">
      <c r="A4" s="5" t="s">
        <v>12</v>
      </c>
      <c r="B4" s="7">
        <v>1</v>
      </c>
    </row>
    <row r="5" spans="1:2" x14ac:dyDescent="0.35">
      <c r="A5" s="8" t="s">
        <v>10</v>
      </c>
      <c r="B5" s="38">
        <v>4</v>
      </c>
    </row>
    <row r="6" spans="1:2" x14ac:dyDescent="0.35">
      <c r="A6" s="8" t="s">
        <v>8</v>
      </c>
      <c r="B6" s="38">
        <v>2</v>
      </c>
    </row>
    <row r="7" spans="1:2" x14ac:dyDescent="0.35">
      <c r="A7" s="8" t="s">
        <v>13</v>
      </c>
      <c r="B7" s="38">
        <v>2</v>
      </c>
    </row>
    <row r="8" spans="1:2" x14ac:dyDescent="0.35">
      <c r="A8" s="8" t="s">
        <v>11</v>
      </c>
      <c r="B8" s="38">
        <v>1</v>
      </c>
    </row>
    <row r="9" spans="1:2" x14ac:dyDescent="0.35">
      <c r="A9" s="8" t="s">
        <v>14</v>
      </c>
      <c r="B9" s="38">
        <v>3</v>
      </c>
    </row>
    <row r="10" spans="1:2" x14ac:dyDescent="0.35">
      <c r="A10" s="9" t="s">
        <v>9</v>
      </c>
      <c r="B10" s="39">
        <v>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A654-8303-4B96-9939-C52C16537021}">
  <dimension ref="A3:B19"/>
  <sheetViews>
    <sheetView topLeftCell="C1" workbookViewId="0">
      <selection activeCell="B3" sqref="B3"/>
    </sheetView>
  </sheetViews>
  <sheetFormatPr defaultRowHeight="14.5" x14ac:dyDescent="0.35"/>
  <cols>
    <col min="1" max="1" width="13.54296875" bestFit="1" customWidth="1"/>
    <col min="2" max="2" width="20" bestFit="1" customWidth="1"/>
    <col min="3" max="3" width="15.90625" bestFit="1" customWidth="1"/>
  </cols>
  <sheetData>
    <row r="3" spans="1:2" x14ac:dyDescent="0.35">
      <c r="A3" s="37" t="s">
        <v>0</v>
      </c>
      <c r="B3" t="s">
        <v>35</v>
      </c>
    </row>
    <row r="4" spans="1:2" x14ac:dyDescent="0.35">
      <c r="A4" t="s">
        <v>19</v>
      </c>
      <c r="B4" s="1">
        <v>2078.4</v>
      </c>
    </row>
    <row r="5" spans="1:2" x14ac:dyDescent="0.35">
      <c r="A5" t="s">
        <v>27</v>
      </c>
      <c r="B5" s="1">
        <v>1407.25</v>
      </c>
    </row>
    <row r="6" spans="1:2" x14ac:dyDescent="0.35">
      <c r="A6" t="s">
        <v>20</v>
      </c>
      <c r="B6" s="1">
        <v>2370.6750000000002</v>
      </c>
    </row>
    <row r="7" spans="1:2" x14ac:dyDescent="0.35">
      <c r="A7" t="s">
        <v>25</v>
      </c>
      <c r="B7" s="1">
        <v>2504.9050000000002</v>
      </c>
    </row>
    <row r="8" spans="1:2" x14ac:dyDescent="0.35">
      <c r="A8" t="s">
        <v>18</v>
      </c>
      <c r="B8" s="1">
        <v>1845.6625000000001</v>
      </c>
    </row>
    <row r="9" spans="1:2" x14ac:dyDescent="0.35">
      <c r="A9" t="s">
        <v>17</v>
      </c>
      <c r="B9" s="1">
        <v>3027.4818749999999</v>
      </c>
    </row>
    <row r="10" spans="1:2" x14ac:dyDescent="0.35">
      <c r="A10" t="s">
        <v>21</v>
      </c>
      <c r="B10" s="1">
        <v>1533.2097000000001</v>
      </c>
    </row>
    <row r="11" spans="1:2" x14ac:dyDescent="0.35">
      <c r="A11" t="s">
        <v>24</v>
      </c>
      <c r="B11" s="1">
        <v>1716.845</v>
      </c>
    </row>
    <row r="12" spans="1:2" x14ac:dyDescent="0.35">
      <c r="A12" t="s">
        <v>26</v>
      </c>
      <c r="B12" s="1">
        <v>3039.66</v>
      </c>
    </row>
    <row r="13" spans="1:2" x14ac:dyDescent="0.35">
      <c r="A13" t="s">
        <v>30</v>
      </c>
      <c r="B13" s="1">
        <v>2540.5842000000002</v>
      </c>
    </row>
    <row r="14" spans="1:2" x14ac:dyDescent="0.35">
      <c r="A14" t="s">
        <v>32</v>
      </c>
      <c r="B14" s="1">
        <v>3841.1213500000003</v>
      </c>
    </row>
    <row r="15" spans="1:2" x14ac:dyDescent="0.35">
      <c r="A15" t="s">
        <v>31</v>
      </c>
      <c r="B15" s="1">
        <v>1754.2129000000002</v>
      </c>
    </row>
    <row r="16" spans="1:2" x14ac:dyDescent="0.35">
      <c r="A16" t="s">
        <v>28</v>
      </c>
      <c r="B16" s="1">
        <v>1407.25</v>
      </c>
    </row>
    <row r="17" spans="1:2" x14ac:dyDescent="0.35">
      <c r="A17" t="s">
        <v>22</v>
      </c>
      <c r="B17" s="1">
        <v>1374.6018000000001</v>
      </c>
    </row>
    <row r="18" spans="1:2" x14ac:dyDescent="0.35">
      <c r="A18" t="s">
        <v>29</v>
      </c>
      <c r="B18" s="1">
        <v>1569.625</v>
      </c>
    </row>
    <row r="19" spans="1:2" x14ac:dyDescent="0.35">
      <c r="A19" t="s">
        <v>23</v>
      </c>
      <c r="B19" s="1">
        <v>1632.41</v>
      </c>
    </row>
  </sheetData>
  <pageMargins left="0.7" right="0.7" top="0.75" bottom="0.75" header="0.3" footer="0.3"/>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D57-E835-4B3D-8E39-CD227B37A73D}">
  <dimension ref="A3:B19"/>
  <sheetViews>
    <sheetView topLeftCell="B1" zoomScale="83" workbookViewId="0">
      <selection activeCell="B17" sqref="B17"/>
    </sheetView>
  </sheetViews>
  <sheetFormatPr defaultRowHeight="14.5" x14ac:dyDescent="0.35"/>
  <cols>
    <col min="1" max="1" width="13.54296875" bestFit="1" customWidth="1"/>
    <col min="2" max="2" width="15.08984375" bestFit="1" customWidth="1"/>
    <col min="3" max="3" width="15.90625" bestFit="1" customWidth="1"/>
  </cols>
  <sheetData>
    <row r="3" spans="1:2" x14ac:dyDescent="0.35">
      <c r="A3" s="37" t="s">
        <v>0</v>
      </c>
      <c r="B3" t="s">
        <v>36</v>
      </c>
    </row>
    <row r="4" spans="1:2" x14ac:dyDescent="0.35">
      <c r="A4" t="s">
        <v>19</v>
      </c>
      <c r="B4">
        <v>4</v>
      </c>
    </row>
    <row r="5" spans="1:2" x14ac:dyDescent="0.35">
      <c r="A5" t="s">
        <v>27</v>
      </c>
    </row>
    <row r="6" spans="1:2" x14ac:dyDescent="0.35">
      <c r="A6" t="s">
        <v>20</v>
      </c>
      <c r="B6">
        <v>3</v>
      </c>
    </row>
    <row r="7" spans="1:2" x14ac:dyDescent="0.35">
      <c r="A7" t="s">
        <v>25</v>
      </c>
      <c r="B7">
        <v>7</v>
      </c>
    </row>
    <row r="8" spans="1:2" x14ac:dyDescent="0.35">
      <c r="A8" t="s">
        <v>18</v>
      </c>
      <c r="B8">
        <v>1</v>
      </c>
    </row>
    <row r="9" spans="1:2" x14ac:dyDescent="0.35">
      <c r="A9" t="s">
        <v>17</v>
      </c>
      <c r="B9">
        <v>0.25</v>
      </c>
    </row>
    <row r="10" spans="1:2" x14ac:dyDescent="0.35">
      <c r="A10" t="s">
        <v>21</v>
      </c>
      <c r="B10">
        <v>2</v>
      </c>
    </row>
    <row r="11" spans="1:2" x14ac:dyDescent="0.35">
      <c r="A11" t="s">
        <v>24</v>
      </c>
      <c r="B11">
        <v>3</v>
      </c>
    </row>
    <row r="12" spans="1:2" x14ac:dyDescent="0.35">
      <c r="A12" t="s">
        <v>26</v>
      </c>
      <c r="B12">
        <v>12</v>
      </c>
    </row>
    <row r="13" spans="1:2" x14ac:dyDescent="0.35">
      <c r="A13" t="s">
        <v>30</v>
      </c>
    </row>
    <row r="14" spans="1:2" x14ac:dyDescent="0.35">
      <c r="A14" t="s">
        <v>32</v>
      </c>
      <c r="B14">
        <v>5</v>
      </c>
    </row>
    <row r="15" spans="1:2" x14ac:dyDescent="0.35">
      <c r="A15" t="s">
        <v>31</v>
      </c>
      <c r="B15">
        <v>2</v>
      </c>
    </row>
    <row r="16" spans="1:2" x14ac:dyDescent="0.35">
      <c r="A16" t="s">
        <v>28</v>
      </c>
    </row>
    <row r="17" spans="1:2" x14ac:dyDescent="0.35">
      <c r="A17" t="s">
        <v>22</v>
      </c>
    </row>
    <row r="18" spans="1:2" x14ac:dyDescent="0.35">
      <c r="A18" t="s">
        <v>29</v>
      </c>
      <c r="B18">
        <v>2</v>
      </c>
    </row>
    <row r="19" spans="1:2" x14ac:dyDescent="0.35">
      <c r="A19" t="s">
        <v>23</v>
      </c>
    </row>
  </sheetData>
  <pageMargins left="0.7" right="0.7" top="0.75" bottom="0.75" header="0.3" footer="0.3"/>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E32A5-8F66-4BBE-82A9-064CBC077DF1}">
  <dimension ref="A1:S51"/>
  <sheetViews>
    <sheetView showGridLines="0" tabSelected="1" zoomScale="37" zoomScaleNormal="57" workbookViewId="0">
      <selection activeCell="K36" sqref="K36"/>
    </sheetView>
  </sheetViews>
  <sheetFormatPr defaultRowHeight="14.5" x14ac:dyDescent="0.35"/>
  <cols>
    <col min="7" max="7" width="16.81640625" bestFit="1" customWidth="1"/>
    <col min="8" max="8" width="16.6328125" customWidth="1"/>
    <col min="9" max="9" width="23.453125" customWidth="1"/>
    <col min="10" max="10" width="22.6328125" customWidth="1"/>
    <col min="11" max="11" width="26.54296875" customWidth="1"/>
    <col min="12" max="12" width="21.26953125" customWidth="1"/>
    <col min="13" max="13" width="12.54296875" bestFit="1" customWidth="1"/>
    <col min="14" max="14" width="23.54296875" customWidth="1"/>
    <col min="15" max="15" width="19.54296875" bestFit="1" customWidth="1"/>
    <col min="16" max="16" width="24.6328125" customWidth="1"/>
    <col min="18" max="18" width="30.453125" customWidth="1"/>
  </cols>
  <sheetData>
    <row r="1" spans="1:19" ht="14.5" customHeight="1" x14ac:dyDescent="0.35">
      <c r="A1" s="40" t="s">
        <v>34</v>
      </c>
      <c r="B1" s="41"/>
      <c r="C1" s="41"/>
      <c r="D1" s="41"/>
      <c r="E1" s="41"/>
      <c r="F1" s="41"/>
      <c r="G1" s="41"/>
      <c r="H1" s="41"/>
      <c r="I1" s="41"/>
      <c r="J1" s="41"/>
      <c r="K1" s="41"/>
      <c r="L1" s="41"/>
      <c r="M1" s="41"/>
      <c r="N1" s="41"/>
      <c r="O1" s="41"/>
      <c r="P1" s="41"/>
      <c r="Q1" s="41"/>
      <c r="R1" s="41"/>
      <c r="S1" s="41"/>
    </row>
    <row r="2" spans="1:19" x14ac:dyDescent="0.35">
      <c r="A2" s="41"/>
      <c r="B2" s="41"/>
      <c r="C2" s="41"/>
      <c r="D2" s="41"/>
      <c r="E2" s="41"/>
      <c r="F2" s="41"/>
      <c r="G2" s="41"/>
      <c r="H2" s="41"/>
      <c r="I2" s="41"/>
      <c r="J2" s="41"/>
      <c r="K2" s="41"/>
      <c r="L2" s="41"/>
      <c r="M2" s="41"/>
      <c r="N2" s="41"/>
      <c r="O2" s="41"/>
      <c r="P2" s="41"/>
      <c r="Q2" s="41"/>
      <c r="R2" s="41"/>
      <c r="S2" s="41"/>
    </row>
    <row r="3" spans="1:19" x14ac:dyDescent="0.35">
      <c r="A3" s="41"/>
      <c r="B3" s="41"/>
      <c r="C3" s="41"/>
      <c r="D3" s="41"/>
      <c r="E3" s="41"/>
      <c r="F3" s="41"/>
      <c r="G3" s="41"/>
      <c r="H3" s="41"/>
      <c r="I3" s="41"/>
      <c r="J3" s="41"/>
      <c r="K3" s="41"/>
      <c r="L3" s="41"/>
      <c r="M3" s="41"/>
      <c r="N3" s="41"/>
      <c r="O3" s="41"/>
      <c r="P3" s="41"/>
      <c r="Q3" s="41"/>
      <c r="R3" s="41"/>
      <c r="S3" s="41"/>
    </row>
    <row r="4" spans="1:19" x14ac:dyDescent="0.35">
      <c r="A4" s="41"/>
      <c r="B4" s="41"/>
      <c r="C4" s="41"/>
      <c r="D4" s="41"/>
      <c r="E4" s="41"/>
      <c r="F4" s="41"/>
      <c r="G4" s="41"/>
      <c r="H4" s="41"/>
      <c r="I4" s="41"/>
      <c r="J4" s="41"/>
      <c r="K4" s="41"/>
      <c r="L4" s="41"/>
      <c r="M4" s="41"/>
      <c r="N4" s="41"/>
      <c r="O4" s="41"/>
      <c r="P4" s="41"/>
      <c r="Q4" s="41"/>
      <c r="R4" s="41"/>
      <c r="S4" s="41"/>
    </row>
    <row r="5" spans="1:19" x14ac:dyDescent="0.35">
      <c r="A5" s="41"/>
      <c r="B5" s="41"/>
      <c r="C5" s="41"/>
      <c r="D5" s="41"/>
      <c r="E5" s="41"/>
      <c r="F5" s="41"/>
      <c r="G5" s="41"/>
      <c r="H5" s="41"/>
      <c r="I5" s="41"/>
      <c r="J5" s="41"/>
      <c r="K5" s="41"/>
      <c r="L5" s="41"/>
      <c r="M5" s="41"/>
      <c r="N5" s="41"/>
      <c r="O5" s="41"/>
      <c r="P5" s="41"/>
      <c r="Q5" s="41"/>
      <c r="R5" s="41"/>
      <c r="S5" s="41"/>
    </row>
    <row r="6" spans="1:19" ht="26" customHeight="1" x14ac:dyDescent="0.35">
      <c r="H6" s="11"/>
      <c r="K6" s="10"/>
    </row>
    <row r="7" spans="1:19" ht="26" customHeight="1" x14ac:dyDescent="0.6">
      <c r="H7" s="20"/>
      <c r="J7" s="21"/>
      <c r="K7" s="10"/>
      <c r="L7" s="21"/>
      <c r="N7" s="24"/>
      <c r="P7" s="27"/>
      <c r="R7" s="32"/>
    </row>
    <row r="8" spans="1:19" ht="26" customHeight="1" x14ac:dyDescent="0.4">
      <c r="H8" s="42">
        <f>COUNTA(G36:G1054)</f>
        <v>16</v>
      </c>
      <c r="J8" s="43">
        <f>SUM(O36:O1015)</f>
        <v>33643.894325000001</v>
      </c>
      <c r="K8" s="10"/>
      <c r="L8" s="30">
        <f>AVERAGE(K36:K912)</f>
        <v>13.614375000000001</v>
      </c>
      <c r="N8" s="45">
        <f>DMAX(G35:O154,O35,O36:O363)</f>
        <v>3841.1213500000003</v>
      </c>
      <c r="P8" s="29">
        <f>SUM(M36:M1447)</f>
        <v>41.25</v>
      </c>
      <c r="R8" s="35">
        <f>SUM(N36:N1186)</f>
        <v>836.75249999999994</v>
      </c>
    </row>
    <row r="9" spans="1:19" ht="14.5" customHeight="1" x14ac:dyDescent="0.4">
      <c r="H9" s="42"/>
      <c r="J9" s="44"/>
      <c r="L9" s="31"/>
      <c r="N9" s="45"/>
      <c r="P9" s="29"/>
      <c r="R9" s="36"/>
    </row>
    <row r="10" spans="1:19" ht="14.5" customHeight="1" x14ac:dyDescent="0.35">
      <c r="H10" s="12"/>
      <c r="J10" s="22"/>
      <c r="L10" s="23"/>
      <c r="N10" s="25"/>
      <c r="P10" s="28"/>
      <c r="R10" s="33"/>
    </row>
    <row r="11" spans="1:19" ht="14.5" customHeight="1" x14ac:dyDescent="0.35">
      <c r="N11" s="26"/>
      <c r="R11" s="34"/>
    </row>
    <row r="12" spans="1:19" x14ac:dyDescent="0.35">
      <c r="R12" s="34"/>
    </row>
    <row r="13" spans="1:19" x14ac:dyDescent="0.35">
      <c r="R13" s="34"/>
    </row>
    <row r="14" spans="1:19" x14ac:dyDescent="0.35">
      <c r="R14" s="34"/>
    </row>
    <row r="27" spans="12:12" x14ac:dyDescent="0.35">
      <c r="L27" s="4"/>
    </row>
    <row r="35" spans="4:19" x14ac:dyDescent="0.35">
      <c r="G35" s="14" t="s">
        <v>0</v>
      </c>
      <c r="H35" s="14" t="s">
        <v>1</v>
      </c>
      <c r="I35" s="14" t="s">
        <v>2</v>
      </c>
      <c r="J35" s="14" t="s">
        <v>4</v>
      </c>
      <c r="K35" s="14" t="s">
        <v>3</v>
      </c>
      <c r="L35" s="14" t="s">
        <v>15</v>
      </c>
      <c r="M35" s="14" t="s">
        <v>5</v>
      </c>
      <c r="N35" s="14" t="s">
        <v>16</v>
      </c>
      <c r="O35" s="14" t="s">
        <v>6</v>
      </c>
    </row>
    <row r="36" spans="4:19" x14ac:dyDescent="0.35">
      <c r="G36" s="15" t="s">
        <v>17</v>
      </c>
      <c r="H36" s="15">
        <v>40</v>
      </c>
      <c r="I36" s="15">
        <v>42</v>
      </c>
      <c r="J36" s="15" t="s">
        <v>11</v>
      </c>
      <c r="K36" s="16">
        <f>_xlfn.XLOOKUP(J36,$R$40:$R$46,$S$40:$S$46)</f>
        <v>16.5</v>
      </c>
      <c r="L36" s="16">
        <f>I36*K36</f>
        <v>693</v>
      </c>
      <c r="M36" s="15">
        <v>0.25</v>
      </c>
      <c r="N36" s="16">
        <f>(K36*1.5)*M36</f>
        <v>6.1875</v>
      </c>
      <c r="O36" s="16">
        <f>(L36+N36)*4.33</f>
        <v>3027.4818749999999</v>
      </c>
    </row>
    <row r="37" spans="4:19" x14ac:dyDescent="0.35">
      <c r="D37" s="13"/>
      <c r="G37" t="s">
        <v>18</v>
      </c>
      <c r="H37">
        <v>26</v>
      </c>
      <c r="I37">
        <v>26</v>
      </c>
      <c r="J37" t="s">
        <v>12</v>
      </c>
      <c r="K37" s="1">
        <f t="shared" ref="K37:K51" si="0">_xlfn.XLOOKUP(J37,$R$40:$R$46,$S$40:$S$46)</f>
        <v>15.5</v>
      </c>
      <c r="L37" s="1">
        <f t="shared" ref="L37:L51" si="1">I37*K37</f>
        <v>403</v>
      </c>
      <c r="M37">
        <v>1</v>
      </c>
      <c r="N37" s="1">
        <f t="shared" ref="N37:N51" si="2">(K37*1.5)*M37</f>
        <v>23.25</v>
      </c>
      <c r="O37" s="1">
        <f>(L37+N37)*4.33</f>
        <v>1845.6625000000001</v>
      </c>
    </row>
    <row r="38" spans="4:19" x14ac:dyDescent="0.35">
      <c r="G38" s="15" t="s">
        <v>19</v>
      </c>
      <c r="H38" s="15">
        <v>19</v>
      </c>
      <c r="I38" s="15">
        <v>26</v>
      </c>
      <c r="J38" s="15" t="s">
        <v>8</v>
      </c>
      <c r="K38" s="16">
        <f t="shared" si="0"/>
        <v>15</v>
      </c>
      <c r="L38" s="16">
        <f t="shared" si="1"/>
        <v>390</v>
      </c>
      <c r="M38" s="15">
        <v>4</v>
      </c>
      <c r="N38" s="16">
        <f t="shared" si="2"/>
        <v>90</v>
      </c>
      <c r="O38" s="16">
        <f t="shared" ref="O38:O51" si="3">(L38+N38)*4.33</f>
        <v>2078.4</v>
      </c>
    </row>
    <row r="39" spans="4:19" x14ac:dyDescent="0.35">
      <c r="G39" t="s">
        <v>20</v>
      </c>
      <c r="H39">
        <v>34</v>
      </c>
      <c r="I39">
        <v>32</v>
      </c>
      <c r="J39" t="s">
        <v>8</v>
      </c>
      <c r="K39" s="1">
        <f t="shared" si="0"/>
        <v>15</v>
      </c>
      <c r="L39" s="1">
        <f t="shared" si="1"/>
        <v>480</v>
      </c>
      <c r="M39">
        <v>3</v>
      </c>
      <c r="N39" s="1">
        <f t="shared" si="2"/>
        <v>67.5</v>
      </c>
      <c r="O39" s="1">
        <f t="shared" si="3"/>
        <v>2370.6750000000002</v>
      </c>
      <c r="R39" s="19" t="s">
        <v>7</v>
      </c>
      <c r="S39" s="19" t="s">
        <v>3</v>
      </c>
    </row>
    <row r="40" spans="4:19" x14ac:dyDescent="0.35">
      <c r="G40" s="15" t="s">
        <v>21</v>
      </c>
      <c r="H40" s="15">
        <v>24</v>
      </c>
      <c r="I40" s="15">
        <v>26</v>
      </c>
      <c r="J40" s="15" t="s">
        <v>13</v>
      </c>
      <c r="K40" s="16">
        <f t="shared" si="0"/>
        <v>12.21</v>
      </c>
      <c r="L40" s="16">
        <f t="shared" si="1"/>
        <v>317.46000000000004</v>
      </c>
      <c r="M40" s="15">
        <v>2</v>
      </c>
      <c r="N40" s="16">
        <f t="shared" si="2"/>
        <v>36.630000000000003</v>
      </c>
      <c r="O40" s="16">
        <f t="shared" si="3"/>
        <v>1533.2097000000001</v>
      </c>
      <c r="R40" s="17" t="s">
        <v>8</v>
      </c>
      <c r="S40" s="18">
        <v>15</v>
      </c>
    </row>
    <row r="41" spans="4:19" x14ac:dyDescent="0.35">
      <c r="G41" t="s">
        <v>22</v>
      </c>
      <c r="H41">
        <v>42</v>
      </c>
      <c r="I41">
        <v>26</v>
      </c>
      <c r="J41" t="s">
        <v>13</v>
      </c>
      <c r="K41" s="1">
        <f t="shared" si="0"/>
        <v>12.21</v>
      </c>
      <c r="L41" s="1">
        <f t="shared" si="1"/>
        <v>317.46000000000004</v>
      </c>
      <c r="N41" s="1">
        <f t="shared" si="2"/>
        <v>0</v>
      </c>
      <c r="O41" s="1">
        <f t="shared" si="3"/>
        <v>1374.6018000000001</v>
      </c>
      <c r="R41" s="2" t="s">
        <v>9</v>
      </c>
      <c r="S41" s="3">
        <v>12.5</v>
      </c>
    </row>
    <row r="42" spans="4:19" x14ac:dyDescent="0.35">
      <c r="G42" s="15" t="s">
        <v>23</v>
      </c>
      <c r="H42" s="15">
        <v>43</v>
      </c>
      <c r="I42" s="15">
        <v>29</v>
      </c>
      <c r="J42" s="15" t="s">
        <v>10</v>
      </c>
      <c r="K42" s="16">
        <f t="shared" si="0"/>
        <v>13</v>
      </c>
      <c r="L42" s="16">
        <f t="shared" si="1"/>
        <v>377</v>
      </c>
      <c r="M42" s="15"/>
      <c r="N42" s="16">
        <f t="shared" si="2"/>
        <v>0</v>
      </c>
      <c r="O42" s="16">
        <f t="shared" si="3"/>
        <v>1632.41</v>
      </c>
      <c r="R42" s="17" t="s">
        <v>10</v>
      </c>
      <c r="S42" s="18">
        <v>13</v>
      </c>
    </row>
    <row r="43" spans="4:19" x14ac:dyDescent="0.35">
      <c r="G43" t="s">
        <v>24</v>
      </c>
      <c r="H43">
        <v>17</v>
      </c>
      <c r="I43">
        <v>26</v>
      </c>
      <c r="J43" t="s">
        <v>10</v>
      </c>
      <c r="K43" s="1">
        <f t="shared" si="0"/>
        <v>13</v>
      </c>
      <c r="L43" s="1">
        <f t="shared" si="1"/>
        <v>338</v>
      </c>
      <c r="M43">
        <v>3</v>
      </c>
      <c r="N43" s="1">
        <f t="shared" si="2"/>
        <v>58.5</v>
      </c>
      <c r="O43" s="1">
        <f t="shared" si="3"/>
        <v>1716.845</v>
      </c>
      <c r="R43" s="2" t="s">
        <v>11</v>
      </c>
      <c r="S43" s="3">
        <v>16.5</v>
      </c>
    </row>
    <row r="44" spans="4:19" x14ac:dyDescent="0.35">
      <c r="G44" s="15" t="s">
        <v>25</v>
      </c>
      <c r="H44" s="15">
        <v>27</v>
      </c>
      <c r="I44" s="15">
        <v>34</v>
      </c>
      <c r="J44" s="15" t="s">
        <v>10</v>
      </c>
      <c r="K44" s="16">
        <f t="shared" si="0"/>
        <v>13</v>
      </c>
      <c r="L44" s="16">
        <f t="shared" si="1"/>
        <v>442</v>
      </c>
      <c r="M44" s="15">
        <v>7</v>
      </c>
      <c r="N44" s="16">
        <f t="shared" si="2"/>
        <v>136.5</v>
      </c>
      <c r="O44" s="16">
        <f t="shared" si="3"/>
        <v>2504.9050000000002</v>
      </c>
      <c r="R44" s="17" t="s">
        <v>12</v>
      </c>
      <c r="S44" s="18">
        <v>15.5</v>
      </c>
    </row>
    <row r="45" spans="4:19" x14ac:dyDescent="0.35">
      <c r="G45" t="s">
        <v>26</v>
      </c>
      <c r="H45">
        <v>34</v>
      </c>
      <c r="I45">
        <v>36</v>
      </c>
      <c r="J45" t="s">
        <v>10</v>
      </c>
      <c r="K45" s="1">
        <f t="shared" si="0"/>
        <v>13</v>
      </c>
      <c r="L45" s="1">
        <f t="shared" si="1"/>
        <v>468</v>
      </c>
      <c r="M45">
        <v>12</v>
      </c>
      <c r="N45" s="1">
        <f t="shared" si="2"/>
        <v>234</v>
      </c>
      <c r="O45" s="1">
        <f t="shared" si="3"/>
        <v>3039.66</v>
      </c>
      <c r="R45" s="2" t="s">
        <v>13</v>
      </c>
      <c r="S45" s="3">
        <v>12.21</v>
      </c>
    </row>
    <row r="46" spans="4:19" x14ac:dyDescent="0.35">
      <c r="G46" s="15" t="s">
        <v>27</v>
      </c>
      <c r="H46" s="15">
        <v>16</v>
      </c>
      <c r="I46" s="15">
        <v>26</v>
      </c>
      <c r="J46" s="15" t="s">
        <v>9</v>
      </c>
      <c r="K46" s="16">
        <f t="shared" si="0"/>
        <v>12.5</v>
      </c>
      <c r="L46" s="16">
        <f t="shared" si="1"/>
        <v>325</v>
      </c>
      <c r="M46" s="15"/>
      <c r="N46" s="16">
        <f t="shared" si="2"/>
        <v>0</v>
      </c>
      <c r="O46" s="16">
        <f t="shared" si="3"/>
        <v>1407.25</v>
      </c>
      <c r="R46" s="17" t="s">
        <v>14</v>
      </c>
      <c r="S46" s="18">
        <v>13.97</v>
      </c>
    </row>
    <row r="47" spans="4:19" x14ac:dyDescent="0.35">
      <c r="G47" t="s">
        <v>28</v>
      </c>
      <c r="H47">
        <v>16</v>
      </c>
      <c r="I47">
        <v>26</v>
      </c>
      <c r="J47" t="s">
        <v>9</v>
      </c>
      <c r="K47" s="1">
        <f t="shared" si="0"/>
        <v>12.5</v>
      </c>
      <c r="L47" s="1">
        <f t="shared" si="1"/>
        <v>325</v>
      </c>
      <c r="N47" s="1">
        <f t="shared" si="2"/>
        <v>0</v>
      </c>
      <c r="O47" s="1">
        <f t="shared" si="3"/>
        <v>1407.25</v>
      </c>
    </row>
    <row r="48" spans="4:19" x14ac:dyDescent="0.35">
      <c r="G48" s="15" t="s">
        <v>29</v>
      </c>
      <c r="H48" s="15">
        <v>23</v>
      </c>
      <c r="I48" s="15">
        <v>26</v>
      </c>
      <c r="J48" s="15" t="s">
        <v>9</v>
      </c>
      <c r="K48" s="16">
        <f t="shared" si="0"/>
        <v>12.5</v>
      </c>
      <c r="L48" s="16">
        <f t="shared" si="1"/>
        <v>325</v>
      </c>
      <c r="M48" s="15">
        <v>2</v>
      </c>
      <c r="N48" s="16">
        <f t="shared" si="2"/>
        <v>37.5</v>
      </c>
      <c r="O48" s="16">
        <f t="shared" si="3"/>
        <v>1569.625</v>
      </c>
    </row>
    <row r="49" spans="7:15" x14ac:dyDescent="0.35">
      <c r="G49" t="s">
        <v>30</v>
      </c>
      <c r="H49">
        <v>30</v>
      </c>
      <c r="I49">
        <v>42</v>
      </c>
      <c r="J49" t="s">
        <v>14</v>
      </c>
      <c r="K49" s="1">
        <f t="shared" si="0"/>
        <v>13.97</v>
      </c>
      <c r="L49" s="1">
        <f t="shared" si="1"/>
        <v>586.74</v>
      </c>
      <c r="N49" s="1">
        <f t="shared" si="2"/>
        <v>0</v>
      </c>
      <c r="O49" s="1">
        <f t="shared" si="3"/>
        <v>2540.5842000000002</v>
      </c>
    </row>
    <row r="50" spans="7:15" x14ac:dyDescent="0.35">
      <c r="G50" s="15" t="s">
        <v>31</v>
      </c>
      <c r="H50" s="15">
        <v>25</v>
      </c>
      <c r="I50" s="15">
        <v>26</v>
      </c>
      <c r="J50" s="15" t="s">
        <v>14</v>
      </c>
      <c r="K50" s="16">
        <f t="shared" si="0"/>
        <v>13.97</v>
      </c>
      <c r="L50" s="16">
        <f t="shared" si="1"/>
        <v>363.22</v>
      </c>
      <c r="M50" s="15">
        <v>2</v>
      </c>
      <c r="N50" s="16">
        <f t="shared" si="2"/>
        <v>41.910000000000004</v>
      </c>
      <c r="O50" s="16">
        <f t="shared" si="3"/>
        <v>1754.2129000000002</v>
      </c>
    </row>
    <row r="51" spans="7:15" x14ac:dyDescent="0.35">
      <c r="G51" t="s">
        <v>32</v>
      </c>
      <c r="H51">
        <v>24</v>
      </c>
      <c r="I51">
        <v>56</v>
      </c>
      <c r="J51" t="s">
        <v>14</v>
      </c>
      <c r="K51" s="1">
        <f t="shared" si="0"/>
        <v>13.97</v>
      </c>
      <c r="L51" s="1">
        <f t="shared" si="1"/>
        <v>782.32</v>
      </c>
      <c r="M51">
        <v>5</v>
      </c>
      <c r="N51" s="1">
        <f t="shared" si="2"/>
        <v>104.77500000000001</v>
      </c>
      <c r="O51" s="1">
        <f t="shared" si="3"/>
        <v>3841.1213500000003</v>
      </c>
    </row>
  </sheetData>
  <mergeCells count="4">
    <mergeCell ref="A1:S5"/>
    <mergeCell ref="H8:H9"/>
    <mergeCell ref="J8:J9"/>
    <mergeCell ref="N8:N9"/>
  </mergeCells>
  <dataValidations count="2">
    <dataValidation type="list" allowBlank="1" showInputMessage="1" showErrorMessage="1" sqref="J36:J51" xr:uid="{69CD73A0-58C3-470C-A826-C7515D9B13C3}">
      <formula1>$R$40:$R$46</formula1>
    </dataValidation>
    <dataValidation type="custom" allowBlank="1" showInputMessage="1" showErrorMessage="1" promptTitle="Limited Hours" prompt="Employee hour is above limited range" sqref="I36:I51" xr:uid="{15E871E2-D607-4449-9CC0-E53DA0518C9D}">
      <formula1>OR($H36&gt;=18,$I36&lt;=40)</formula1>
    </dataValidation>
  </dataValidation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Role chart</vt:lpstr>
      <vt:lpstr>Chart</vt:lpstr>
      <vt:lpstr>Overtime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Kenny Abdulsalam (5293425)</dc:creator>
  <cp:lastModifiedBy>Kenny Abdulsalam (5293425)</cp:lastModifiedBy>
  <dcterms:created xsi:type="dcterms:W3CDTF">2026-06-09T16:57:03Z</dcterms:created>
  <dcterms:modified xsi:type="dcterms:W3CDTF">2026-06-14T18:50:23Z</dcterms:modified>
</cp:coreProperties>
</file>